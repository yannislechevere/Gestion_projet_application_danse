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" sheetId="1" r:id="rId4"/>
    <sheet state="visible" name="RACI" sheetId="2" r:id="rId5"/>
    <sheet state="visible" name="Charges" sheetId="3" r:id="rId6"/>
  </sheets>
  <definedNames/>
  <calcPr/>
  <extLst>
    <ext uri="GoogleSheetsCustomDataVersion2">
      <go:sheetsCustomData xmlns:go="http://customooxmlschemas.google.com/" r:id="rId7" roundtripDataChecksum="JaVSLqJ8nYJIjtsKLxyuN0okUtYROQHg+COmFmfkO40="/>
    </ext>
  </extLst>
</workbook>
</file>

<file path=xl/sharedStrings.xml><?xml version="1.0" encoding="utf-8"?>
<sst xmlns="http://schemas.openxmlformats.org/spreadsheetml/2006/main" count="342" uniqueCount="92">
  <si>
    <t>Screenshot de l'OT :</t>
  </si>
  <si>
    <t>Matrice RACI :</t>
  </si>
  <si>
    <t>Lot</t>
  </si>
  <si>
    <t>Sous-Lot</t>
  </si>
  <si>
    <t>CHAUVEL</t>
  </si>
  <si>
    <t>LE CHEVERE</t>
  </si>
  <si>
    <t>LEMOING</t>
  </si>
  <si>
    <t>Lot 1 : Analyse des besoins</t>
  </si>
  <si>
    <t>R</t>
  </si>
  <si>
    <t>R = Responsable</t>
  </si>
  <si>
    <t>Lot 1.1 : Recenser les règles du gala</t>
  </si>
  <si>
    <t>CI</t>
  </si>
  <si>
    <t>RA</t>
  </si>
  <si>
    <t>A = Acteur</t>
  </si>
  <si>
    <t>Lot 1.1.1 : Règles de gestion des invités</t>
  </si>
  <si>
    <t>A</t>
  </si>
  <si>
    <t>C = Consulté</t>
  </si>
  <si>
    <t>Lot 1.1.2 : Règles de gestion des tables</t>
  </si>
  <si>
    <t>I = Informé</t>
  </si>
  <si>
    <t>Lot 1.2 : Identifier les fonctions attendues</t>
  </si>
  <si>
    <t>Lot 1.2.1 : Relier une table à une personne ou groupe de personne</t>
  </si>
  <si>
    <t>Lot 1.2.1.1 : Lier une personne à un table</t>
  </si>
  <si>
    <t>Lot 1.2.1.2 : Modifier la table d'une personne</t>
  </si>
  <si>
    <t>Lot 1.2.1.3 : Afficher les personnes d'une table</t>
  </si>
  <si>
    <t>Lot 1.2.1.4 : Supprimer la personne d'une table</t>
  </si>
  <si>
    <t>Lot 1.2.2 : Afficher le plan pour les personnes chargées de placer les gens</t>
  </si>
  <si>
    <t>Lot 1.2.2.1 : Afficher le nom et prénom des personnes par table</t>
  </si>
  <si>
    <t>Lot 1.2.3 : Modifier le plan</t>
  </si>
  <si>
    <t>Lot 1.2.3.1 : Supprimer une/un personne/groupe de personne</t>
  </si>
  <si>
    <t>Lot 1.2.3.2 : Ajouter une/un personne/groupe de personne</t>
  </si>
  <si>
    <t>Lot 1.2.3.3 : Déplacer une/un personne/groupe de personne</t>
  </si>
  <si>
    <t>Lot 1.2.3.4 : Enlever une/un personne/groupe de personne</t>
  </si>
  <si>
    <t>Lot 1.3 : Définir les points d'affichage</t>
  </si>
  <si>
    <t>Lot 1.3.1 : le PC de l'entrée</t>
  </si>
  <si>
    <t>Lot 2 : Conception</t>
  </si>
  <si>
    <t>Lot 2.1 : Modéliser l'interface</t>
  </si>
  <si>
    <t>Lot 2.1.1 : Modéliser les contraintes</t>
  </si>
  <si>
    <t>Lot 2.1.2 : Modéliser les personnes</t>
  </si>
  <si>
    <t>Lot 2.1.2.1 : Modéliser les fonctions CRUD d'une personne</t>
  </si>
  <si>
    <t>Lot 2.1.3 : Modéliser les tables</t>
  </si>
  <si>
    <t>Lot 2.1.3.1 : Modéliser les fonctions CRUD d'une table</t>
  </si>
  <si>
    <t>Lot 2.1.4 : Modéliser les fonctionnalitées</t>
  </si>
  <si>
    <t>Lot 2.2 : Modéliser les éléments</t>
  </si>
  <si>
    <t>Lot 2.2.1 : Modéliser les personnes</t>
  </si>
  <si>
    <t>Lot 2.2.2 : Modéliser les groupes de personnes</t>
  </si>
  <si>
    <t>Lot 2.2.3 : Modéliser les tables</t>
  </si>
  <si>
    <t>Lot 2.2.3.1 : Modéliser les groupes de 6 personnes</t>
  </si>
  <si>
    <t>Lot 2.2.3.2 : Modéliser les groupes de 12 personnes</t>
  </si>
  <si>
    <t>Lot 2.2.4 : Modéliser les groupes de tables</t>
  </si>
  <si>
    <t>Lot 2.2.4.1 : Modéliser les tables de 6 personnes</t>
  </si>
  <si>
    <t>Lot 2.2.4.2 : Modéliser les tables de 12 personnes</t>
  </si>
  <si>
    <t>Lot 2.3 : Définir les règles de gestion</t>
  </si>
  <si>
    <t>C</t>
  </si>
  <si>
    <t>Lot 2.3.1 : Gestion sur les tables</t>
  </si>
  <si>
    <t>Lot 3 : Développement</t>
  </si>
  <si>
    <t>Lot 3.1 : Développement de l'interface</t>
  </si>
  <si>
    <t>Lot 3.1.1 : Fichier FXML de l'interface</t>
  </si>
  <si>
    <t>Lot 3.1.2 : Classe contrôleur de l'interface</t>
  </si>
  <si>
    <t>Lot 3.1.3 : Classe Fenêtre de l'interface</t>
  </si>
  <si>
    <t>Lot 3.1.4 : Classe Principale de l'interface</t>
  </si>
  <si>
    <t>Lot 3.2 : Développement des éléments</t>
  </si>
  <si>
    <t>Lot 3.2.1 : Tables</t>
  </si>
  <si>
    <t>Lot 3.2.1.1 : Tables de 6 personnes</t>
  </si>
  <si>
    <t>Lot 3.2.1.2 : Tables de 12 personnes</t>
  </si>
  <si>
    <t>Lot 3.2.2 : Groupe de tables</t>
  </si>
  <si>
    <t>Lot 3.2.3 : Personnes</t>
  </si>
  <si>
    <t>Lot 3.2.4 : Groupes de personnes</t>
  </si>
  <si>
    <t>Lot 3.2.4.1 : Groupe de 6 personnes</t>
  </si>
  <si>
    <t>Lot 3.2.4.2 : Groupe de 12 personnes</t>
  </si>
  <si>
    <t>Lot 3.3 : Développement des contraintes</t>
  </si>
  <si>
    <t>AC</t>
  </si>
  <si>
    <t>Lot 3.3.1 : Contraintes sur les personnes</t>
  </si>
  <si>
    <t>Lot 3.3.2 : Contraintes sur les tables</t>
  </si>
  <si>
    <t>Lot 3.3.3 : Contraintes sur les groupes de personnes</t>
  </si>
  <si>
    <t>Lot 3.3.4 : Contraintes sur les groupes de tables</t>
  </si>
  <si>
    <t>Lot 4 : Test</t>
  </si>
  <si>
    <t>Lot 4.1 : Tests fonctionels</t>
  </si>
  <si>
    <t>Lot 4.1.1 : Tests de suppression d'éléments</t>
  </si>
  <si>
    <t>Lot 4.1.2 : Tests de lecture d'éléments</t>
  </si>
  <si>
    <t>Lot 4.1.3 : Tests de modification d'éléments</t>
  </si>
  <si>
    <t>Lot 4.1.4 : Tests de création d'éléments</t>
  </si>
  <si>
    <t>Lot 4.2 : Tests en situation</t>
  </si>
  <si>
    <t>Lot 4.2.1 : Affichage sur le PC</t>
  </si>
  <si>
    <t>Estimation des charges :</t>
  </si>
  <si>
    <t>a</t>
  </si>
  <si>
    <t>m</t>
  </si>
  <si>
    <t>p</t>
  </si>
  <si>
    <t>Estimation</t>
  </si>
  <si>
    <t>Coût</t>
  </si>
  <si>
    <t>Lot 2.2.2.1 : Modéliser les groupes de 6 personnes</t>
  </si>
  <si>
    <t>Lot 2.2.2.2 : Modéliser les groupes de 12 personnes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</si>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</sst>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sz val="2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Border="1" applyFill="1" applyFont="1"/>
    <xf borderId="2" fillId="2" fontId="1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2" fillId="3" fontId="1" numFmtId="0" xfId="0" applyAlignment="1" applyBorder="1" applyFill="1" applyFont="1">
      <alignment vertical="center"/>
    </xf>
    <xf borderId="2" fillId="4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5" fontId="1" numFmtId="0" xfId="0" applyAlignment="1" applyBorder="1" applyFill="1" applyFont="1">
      <alignment vertical="center"/>
    </xf>
    <xf borderId="2" fillId="4" fontId="1" numFmtId="0" xfId="0" applyBorder="1" applyFont="1"/>
    <xf borderId="2" fillId="4" fontId="1" numFmtId="0" xfId="0" applyAlignment="1" applyBorder="1" applyFont="1">
      <alignment horizont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3">
    <tableStyle count="2" pivot="0" name="RACI-style">
      <tableStyleElement dxfId="1" type="firstRowStripe"/>
      <tableStyleElement dxfId="2" type="secondRowStripe"/>
    </tableStyle>
    <tableStyle count="3" pivot="0" name="Charges-style">
      <tableStyleElement dxfId="3" type="headerRow"/>
      <tableStyleElement dxfId="1" type="firstRowStripe"/>
      <tableStyleElement dxfId="2" type="secondRowStripe"/>
    </tableStyle>
    <tableStyle count="2" pivot="0" name="Charges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5391150" cy="15240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H8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ACI-style" showColumnStripes="0" showFirstColumn="1" showLastColumn="1" showRowStripes="1"/>
</table>
</file>

<file path=xl/tables/table2.xml><?xml version="1.0" encoding="utf-8"?>
<table xmlns="http://schemas.openxmlformats.org/spreadsheetml/2006/main" headerRowCount="0" ref="B4:J83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har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85:H85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harg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78"/>
    <col customWidth="1" min="7" max="26" width="10.4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2.44"/>
    <col customWidth="1" min="3" max="3" width="54.67"/>
    <col customWidth="1" min="4" max="6" width="11.78"/>
    <col customWidth="1" min="7" max="7" width="12.67"/>
    <col customWidth="1" min="8" max="8" width="13.78"/>
    <col customWidth="1" min="9" max="26" width="10.44"/>
  </cols>
  <sheetData>
    <row r="1" ht="15.75" customHeight="1">
      <c r="A1" s="1"/>
      <c r="B1" s="1"/>
      <c r="C1" s="1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2" t="s">
        <v>1</v>
      </c>
      <c r="C2" s="1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7</v>
      </c>
      <c r="C5" s="9"/>
      <c r="D5" s="10" t="s">
        <v>8</v>
      </c>
      <c r="E5" s="10"/>
      <c r="F5" s="10"/>
      <c r="G5" s="7"/>
      <c r="H5" s="11" t="s">
        <v>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5"/>
      <c r="C6" s="5" t="s">
        <v>10</v>
      </c>
      <c r="D6" s="6" t="s">
        <v>11</v>
      </c>
      <c r="E6" s="6" t="s">
        <v>12</v>
      </c>
      <c r="F6" s="6" t="s">
        <v>11</v>
      </c>
      <c r="G6" s="7"/>
      <c r="H6" s="12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5"/>
      <c r="C7" s="5" t="s">
        <v>14</v>
      </c>
      <c r="D7" s="6" t="s">
        <v>15</v>
      </c>
      <c r="E7" s="6" t="s">
        <v>8</v>
      </c>
      <c r="F7" s="6" t="s">
        <v>15</v>
      </c>
      <c r="G7" s="8"/>
      <c r="H7" s="11" t="s">
        <v>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5"/>
      <c r="C8" s="5" t="s">
        <v>17</v>
      </c>
      <c r="D8" s="6" t="s">
        <v>11</v>
      </c>
      <c r="E8" s="6" t="s">
        <v>12</v>
      </c>
      <c r="F8" s="6" t="s">
        <v>11</v>
      </c>
      <c r="G8" s="8"/>
      <c r="H8" s="12" t="s">
        <v>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5"/>
      <c r="C9" s="5"/>
      <c r="D9" s="6"/>
      <c r="E9" s="6"/>
      <c r="F9" s="6"/>
      <c r="G9" s="8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5"/>
      <c r="C10" s="5" t="s">
        <v>19</v>
      </c>
      <c r="D10" s="6" t="s">
        <v>15</v>
      </c>
      <c r="E10" s="6" t="s">
        <v>11</v>
      </c>
      <c r="F10" s="6" t="s">
        <v>8</v>
      </c>
      <c r="G10" s="8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"/>
      <c r="C11" s="5" t="s">
        <v>20</v>
      </c>
      <c r="D11" s="6" t="s">
        <v>15</v>
      </c>
      <c r="E11" s="6" t="s">
        <v>11</v>
      </c>
      <c r="F11" s="6" t="s">
        <v>8</v>
      </c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/>
      <c r="C12" s="5" t="s">
        <v>21</v>
      </c>
      <c r="D12" s="6" t="s">
        <v>15</v>
      </c>
      <c r="E12" s="6" t="s">
        <v>11</v>
      </c>
      <c r="F12" s="6" t="s">
        <v>8</v>
      </c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5"/>
      <c r="C13" s="5" t="s">
        <v>22</v>
      </c>
      <c r="D13" s="6" t="s">
        <v>15</v>
      </c>
      <c r="E13" s="6" t="s">
        <v>11</v>
      </c>
      <c r="F13" s="6" t="s">
        <v>8</v>
      </c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"/>
      <c r="C14" s="5" t="s">
        <v>23</v>
      </c>
      <c r="D14" s="6" t="s">
        <v>15</v>
      </c>
      <c r="E14" s="6" t="s">
        <v>15</v>
      </c>
      <c r="F14" s="6" t="s">
        <v>8</v>
      </c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5"/>
      <c r="C15" s="5" t="s">
        <v>24</v>
      </c>
      <c r="D15" s="6" t="s">
        <v>11</v>
      </c>
      <c r="E15" s="6" t="s">
        <v>15</v>
      </c>
      <c r="F15" s="6" t="s">
        <v>8</v>
      </c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"/>
      <c r="C16" s="5" t="s">
        <v>25</v>
      </c>
      <c r="D16" s="6" t="s">
        <v>11</v>
      </c>
      <c r="E16" s="6" t="s">
        <v>15</v>
      </c>
      <c r="F16" s="6" t="s">
        <v>8</v>
      </c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5"/>
      <c r="C17" s="5" t="s">
        <v>26</v>
      </c>
      <c r="D17" s="6" t="s">
        <v>11</v>
      </c>
      <c r="E17" s="6" t="s">
        <v>15</v>
      </c>
      <c r="F17" s="6" t="s">
        <v>8</v>
      </c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"/>
      <c r="C18" s="5"/>
      <c r="D18" s="6"/>
      <c r="E18" s="6"/>
      <c r="F18" s="6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5"/>
      <c r="C19" s="5" t="s">
        <v>27</v>
      </c>
      <c r="D19" s="6" t="s">
        <v>11</v>
      </c>
      <c r="E19" s="6" t="s">
        <v>15</v>
      </c>
      <c r="F19" s="6" t="s">
        <v>8</v>
      </c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"/>
      <c r="C20" s="5" t="s">
        <v>28</v>
      </c>
      <c r="D20" s="6" t="s">
        <v>11</v>
      </c>
      <c r="E20" s="6" t="s">
        <v>15</v>
      </c>
      <c r="F20" s="6" t="s">
        <v>8</v>
      </c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"/>
      <c r="C21" s="5" t="s">
        <v>29</v>
      </c>
      <c r="D21" s="6" t="s">
        <v>11</v>
      </c>
      <c r="E21" s="6" t="s">
        <v>15</v>
      </c>
      <c r="F21" s="6" t="s">
        <v>8</v>
      </c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"/>
      <c r="C22" s="5" t="s">
        <v>30</v>
      </c>
      <c r="D22" s="6" t="s">
        <v>11</v>
      </c>
      <c r="E22" s="6" t="s">
        <v>15</v>
      </c>
      <c r="F22" s="6" t="s">
        <v>8</v>
      </c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"/>
      <c r="C23" s="5" t="s">
        <v>31</v>
      </c>
      <c r="D23" s="6" t="s">
        <v>11</v>
      </c>
      <c r="E23" s="6" t="s">
        <v>15</v>
      </c>
      <c r="F23" s="6" t="s">
        <v>8</v>
      </c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"/>
      <c r="C24" s="5"/>
      <c r="D24" s="6"/>
      <c r="E24" s="6"/>
      <c r="F24" s="6"/>
      <c r="G24" s="14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"/>
      <c r="C25" s="5" t="s">
        <v>32</v>
      </c>
      <c r="D25" s="6" t="s">
        <v>11</v>
      </c>
      <c r="E25" s="6" t="s">
        <v>15</v>
      </c>
      <c r="F25" s="6" t="s">
        <v>8</v>
      </c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"/>
      <c r="C26" s="5" t="s">
        <v>33</v>
      </c>
      <c r="D26" s="6" t="s">
        <v>11</v>
      </c>
      <c r="E26" s="6" t="s">
        <v>15</v>
      </c>
      <c r="F26" s="6" t="s">
        <v>8</v>
      </c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"/>
      <c r="C27" s="5"/>
      <c r="D27" s="6"/>
      <c r="E27" s="6"/>
      <c r="F27" s="6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"/>
      <c r="C28" s="9"/>
      <c r="D28" s="10"/>
      <c r="E28" s="6"/>
      <c r="F28" s="10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" t="s">
        <v>34</v>
      </c>
      <c r="C29" s="9"/>
      <c r="D29" s="10"/>
      <c r="E29" s="10" t="s">
        <v>8</v>
      </c>
      <c r="F29" s="9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"/>
      <c r="C30" s="5" t="s">
        <v>35</v>
      </c>
      <c r="D30" s="6" t="s">
        <v>11</v>
      </c>
      <c r="E30" s="6" t="s">
        <v>12</v>
      </c>
      <c r="F30" s="6" t="s">
        <v>15</v>
      </c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"/>
      <c r="C31" s="5" t="s">
        <v>36</v>
      </c>
      <c r="D31" s="6" t="s">
        <v>11</v>
      </c>
      <c r="E31" s="6" t="s">
        <v>12</v>
      </c>
      <c r="F31" s="6" t="s">
        <v>15</v>
      </c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"/>
      <c r="C32" s="5" t="s">
        <v>37</v>
      </c>
      <c r="D32" s="6" t="s">
        <v>11</v>
      </c>
      <c r="E32" s="6" t="s">
        <v>12</v>
      </c>
      <c r="F32" s="6" t="s">
        <v>15</v>
      </c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"/>
      <c r="C33" s="5" t="s">
        <v>38</v>
      </c>
      <c r="D33" s="6" t="s">
        <v>11</v>
      </c>
      <c r="E33" s="6" t="s">
        <v>12</v>
      </c>
      <c r="F33" s="6" t="s">
        <v>15</v>
      </c>
      <c r="G33" s="13"/>
      <c r="H33" s="1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/>
      <c r="C34" s="5" t="s">
        <v>39</v>
      </c>
      <c r="D34" s="6" t="s">
        <v>11</v>
      </c>
      <c r="E34" s="6" t="s">
        <v>12</v>
      </c>
      <c r="F34" s="6" t="s">
        <v>15</v>
      </c>
      <c r="G34" s="13"/>
      <c r="H34" s="1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"/>
      <c r="C35" s="5" t="s">
        <v>40</v>
      </c>
      <c r="D35" s="6" t="s">
        <v>11</v>
      </c>
      <c r="E35" s="6" t="s">
        <v>12</v>
      </c>
      <c r="F35" s="6" t="s">
        <v>15</v>
      </c>
      <c r="G35" s="13"/>
      <c r="H35" s="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"/>
      <c r="C36" s="5" t="s">
        <v>41</v>
      </c>
      <c r="D36" s="6" t="s">
        <v>11</v>
      </c>
      <c r="E36" s="6" t="s">
        <v>12</v>
      </c>
      <c r="F36" s="6" t="s">
        <v>15</v>
      </c>
      <c r="G36" s="13"/>
      <c r="H36" s="1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"/>
      <c r="C37" s="5"/>
      <c r="D37" s="6"/>
      <c r="E37" s="6"/>
      <c r="F37" s="6"/>
      <c r="G37" s="13"/>
      <c r="H37" s="1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"/>
      <c r="C38" s="5" t="s">
        <v>42</v>
      </c>
      <c r="D38" s="6" t="s">
        <v>12</v>
      </c>
      <c r="E38" s="6" t="s">
        <v>11</v>
      </c>
      <c r="F38" s="6" t="s">
        <v>15</v>
      </c>
      <c r="G38" s="13"/>
      <c r="H38" s="1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"/>
      <c r="C39" s="5" t="s">
        <v>43</v>
      </c>
      <c r="D39" s="6" t="s">
        <v>12</v>
      </c>
      <c r="E39" s="6" t="s">
        <v>11</v>
      </c>
      <c r="F39" s="6" t="s">
        <v>15</v>
      </c>
      <c r="G39" s="13"/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"/>
      <c r="C40" s="5" t="s">
        <v>44</v>
      </c>
      <c r="D40" s="6" t="s">
        <v>12</v>
      </c>
      <c r="E40" s="6" t="s">
        <v>11</v>
      </c>
      <c r="F40" s="6" t="s">
        <v>15</v>
      </c>
      <c r="G40" s="13"/>
      <c r="H40" s="1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"/>
      <c r="C41" s="5" t="s">
        <v>45</v>
      </c>
      <c r="D41" s="6" t="s">
        <v>12</v>
      </c>
      <c r="E41" s="6" t="s">
        <v>11</v>
      </c>
      <c r="F41" s="6" t="s">
        <v>15</v>
      </c>
      <c r="G41" s="13"/>
      <c r="H41" s="1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"/>
      <c r="C42" s="5" t="s">
        <v>46</v>
      </c>
      <c r="D42" s="6" t="s">
        <v>11</v>
      </c>
      <c r="E42" s="6" t="s">
        <v>15</v>
      </c>
      <c r="F42" s="6" t="s">
        <v>8</v>
      </c>
      <c r="G42" s="13"/>
      <c r="H42" s="1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"/>
      <c r="C43" s="5" t="s">
        <v>47</v>
      </c>
      <c r="D43" s="6" t="s">
        <v>11</v>
      </c>
      <c r="E43" s="6" t="s">
        <v>15</v>
      </c>
      <c r="F43" s="6" t="s">
        <v>8</v>
      </c>
      <c r="G43" s="13"/>
      <c r="H43" s="1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"/>
      <c r="C44" s="5" t="s">
        <v>48</v>
      </c>
      <c r="D44" s="6" t="s">
        <v>12</v>
      </c>
      <c r="E44" s="6" t="s">
        <v>11</v>
      </c>
      <c r="F44" s="6" t="s">
        <v>15</v>
      </c>
      <c r="G44" s="13"/>
      <c r="H44" s="1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"/>
      <c r="C45" s="5" t="s">
        <v>49</v>
      </c>
      <c r="D45" s="6" t="s">
        <v>11</v>
      </c>
      <c r="E45" s="6" t="s">
        <v>15</v>
      </c>
      <c r="F45" s="6" t="s">
        <v>8</v>
      </c>
      <c r="G45" s="13"/>
      <c r="H45" s="1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"/>
      <c r="C46" s="5" t="s">
        <v>50</v>
      </c>
      <c r="D46" s="6" t="s">
        <v>11</v>
      </c>
      <c r="E46" s="6" t="s">
        <v>15</v>
      </c>
      <c r="F46" s="6" t="s">
        <v>8</v>
      </c>
      <c r="G46" s="13"/>
      <c r="H46" s="1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"/>
      <c r="C47" s="5"/>
      <c r="D47" s="6"/>
      <c r="E47" s="6"/>
      <c r="F47" s="6"/>
      <c r="G47" s="13"/>
      <c r="H47" s="1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"/>
      <c r="C48" s="5" t="s">
        <v>51</v>
      </c>
      <c r="D48" s="6" t="s">
        <v>11</v>
      </c>
      <c r="E48" s="6" t="s">
        <v>12</v>
      </c>
      <c r="F48" s="6" t="s">
        <v>52</v>
      </c>
      <c r="G48" s="13"/>
      <c r="H48" s="1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"/>
      <c r="C49" s="5" t="s">
        <v>53</v>
      </c>
      <c r="D49" s="6" t="s">
        <v>11</v>
      </c>
      <c r="E49" s="6" t="s">
        <v>12</v>
      </c>
      <c r="F49" s="6" t="s">
        <v>52</v>
      </c>
      <c r="G49" s="13"/>
      <c r="H49" s="1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"/>
      <c r="C50" s="5"/>
      <c r="D50" s="6"/>
      <c r="E50" s="6"/>
      <c r="F50" s="6"/>
      <c r="G50" s="13"/>
      <c r="H50" s="1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"/>
      <c r="C51" s="9"/>
      <c r="D51" s="10"/>
      <c r="E51" s="10"/>
      <c r="F51" s="10"/>
      <c r="G51" s="13"/>
      <c r="H51" s="1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" t="s">
        <v>54</v>
      </c>
      <c r="C52" s="5"/>
      <c r="D52" s="6" t="s">
        <v>8</v>
      </c>
      <c r="E52" s="6"/>
      <c r="F52" s="6"/>
      <c r="G52" s="13"/>
      <c r="H52" s="1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"/>
      <c r="C53" s="5" t="s">
        <v>55</v>
      </c>
      <c r="D53" s="6" t="s">
        <v>8</v>
      </c>
      <c r="E53" s="6" t="s">
        <v>15</v>
      </c>
      <c r="F53" s="6" t="s">
        <v>15</v>
      </c>
      <c r="G53" s="13"/>
      <c r="H53" s="1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"/>
      <c r="C54" s="5" t="s">
        <v>56</v>
      </c>
      <c r="D54" s="6" t="s">
        <v>8</v>
      </c>
      <c r="E54" s="6" t="s">
        <v>15</v>
      </c>
      <c r="F54" s="6" t="s">
        <v>15</v>
      </c>
      <c r="G54" s="13"/>
      <c r="H54" s="1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"/>
      <c r="C55" s="5" t="s">
        <v>57</v>
      </c>
      <c r="D55" s="6" t="s">
        <v>8</v>
      </c>
      <c r="E55" s="6" t="s">
        <v>15</v>
      </c>
      <c r="F55" s="6" t="s">
        <v>15</v>
      </c>
      <c r="G55" s="13"/>
      <c r="H55" s="1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"/>
      <c r="C56" s="5" t="s">
        <v>58</v>
      </c>
      <c r="D56" s="6" t="s">
        <v>8</v>
      </c>
      <c r="E56" s="6" t="s">
        <v>15</v>
      </c>
      <c r="F56" s="6" t="s">
        <v>15</v>
      </c>
      <c r="G56" s="13"/>
      <c r="H56" s="1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"/>
      <c r="C57" s="5" t="s">
        <v>59</v>
      </c>
      <c r="D57" s="6" t="s">
        <v>8</v>
      </c>
      <c r="E57" s="6" t="s">
        <v>15</v>
      </c>
      <c r="F57" s="6" t="s">
        <v>15</v>
      </c>
      <c r="G57" s="13"/>
      <c r="H57" s="1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"/>
      <c r="C58" s="5"/>
      <c r="D58" s="6"/>
      <c r="E58" s="6"/>
      <c r="F58" s="6"/>
      <c r="G58" s="13"/>
      <c r="H58" s="1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"/>
      <c r="C59" s="5" t="s">
        <v>60</v>
      </c>
      <c r="D59" s="6" t="s">
        <v>12</v>
      </c>
      <c r="E59" s="6" t="s">
        <v>11</v>
      </c>
      <c r="F59" s="6" t="s">
        <v>15</v>
      </c>
      <c r="G59" s="13"/>
      <c r="H59" s="1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"/>
      <c r="C60" s="5" t="s">
        <v>61</v>
      </c>
      <c r="D60" s="6" t="s">
        <v>12</v>
      </c>
      <c r="E60" s="6" t="s">
        <v>11</v>
      </c>
      <c r="F60" s="6" t="s">
        <v>15</v>
      </c>
      <c r="G60" s="13"/>
      <c r="H60" s="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"/>
      <c r="C61" s="5" t="s">
        <v>62</v>
      </c>
      <c r="D61" s="6" t="s">
        <v>11</v>
      </c>
      <c r="E61" s="6" t="s">
        <v>15</v>
      </c>
      <c r="F61" s="6" t="s">
        <v>12</v>
      </c>
      <c r="G61" s="13"/>
      <c r="H61" s="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"/>
      <c r="C62" s="5" t="s">
        <v>63</v>
      </c>
      <c r="D62" s="6" t="s">
        <v>11</v>
      </c>
      <c r="E62" s="6" t="s">
        <v>15</v>
      </c>
      <c r="F62" s="6" t="s">
        <v>12</v>
      </c>
      <c r="G62" s="13"/>
      <c r="H62" s="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"/>
      <c r="C63" s="5" t="s">
        <v>64</v>
      </c>
      <c r="D63" s="6" t="s">
        <v>12</v>
      </c>
      <c r="E63" s="6" t="s">
        <v>11</v>
      </c>
      <c r="F63" s="6" t="s">
        <v>15</v>
      </c>
      <c r="G63" s="13"/>
      <c r="H63" s="1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"/>
      <c r="C64" s="5" t="s">
        <v>65</v>
      </c>
      <c r="D64" s="6" t="s">
        <v>12</v>
      </c>
      <c r="E64" s="6" t="s">
        <v>11</v>
      </c>
      <c r="F64" s="6" t="s">
        <v>15</v>
      </c>
      <c r="G64" s="13"/>
      <c r="H64" s="1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"/>
      <c r="C65" s="5" t="s">
        <v>66</v>
      </c>
      <c r="D65" s="6" t="s">
        <v>12</v>
      </c>
      <c r="E65" s="6" t="s">
        <v>11</v>
      </c>
      <c r="F65" s="6" t="s">
        <v>15</v>
      </c>
      <c r="G65" s="13"/>
      <c r="H65" s="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"/>
      <c r="C66" s="5" t="s">
        <v>67</v>
      </c>
      <c r="D66" s="6" t="s">
        <v>11</v>
      </c>
      <c r="E66" s="6" t="s">
        <v>15</v>
      </c>
      <c r="F66" s="6" t="s">
        <v>12</v>
      </c>
      <c r="G66" s="13"/>
      <c r="H66" s="1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"/>
      <c r="C67" s="5" t="s">
        <v>68</v>
      </c>
      <c r="D67" s="6" t="s">
        <v>11</v>
      </c>
      <c r="E67" s="6" t="s">
        <v>15</v>
      </c>
      <c r="F67" s="6" t="s">
        <v>12</v>
      </c>
      <c r="G67" s="13"/>
      <c r="H67" s="1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"/>
      <c r="C68" s="5"/>
      <c r="D68" s="6"/>
      <c r="E68" s="6"/>
      <c r="F68" s="6"/>
      <c r="G68" s="13"/>
      <c r="H68" s="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"/>
      <c r="C69" s="5" t="s">
        <v>69</v>
      </c>
      <c r="D69" s="6" t="s">
        <v>8</v>
      </c>
      <c r="E69" s="6" t="s">
        <v>15</v>
      </c>
      <c r="F69" s="6" t="s">
        <v>70</v>
      </c>
      <c r="G69" s="13"/>
      <c r="H69" s="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"/>
      <c r="C70" s="5" t="s">
        <v>71</v>
      </c>
      <c r="D70" s="6" t="s">
        <v>8</v>
      </c>
      <c r="E70" s="6" t="s">
        <v>15</v>
      </c>
      <c r="F70" s="6" t="s">
        <v>70</v>
      </c>
      <c r="G70" s="13"/>
      <c r="H70" s="1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"/>
      <c r="C71" s="5" t="s">
        <v>72</v>
      </c>
      <c r="D71" s="6" t="s">
        <v>8</v>
      </c>
      <c r="E71" s="6" t="s">
        <v>15</v>
      </c>
      <c r="F71" s="6" t="s">
        <v>70</v>
      </c>
      <c r="G71" s="13"/>
      <c r="H71" s="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"/>
      <c r="C72" s="5" t="s">
        <v>73</v>
      </c>
      <c r="D72" s="6" t="s">
        <v>8</v>
      </c>
      <c r="E72" s="6" t="s">
        <v>15</v>
      </c>
      <c r="F72" s="6" t="s">
        <v>70</v>
      </c>
      <c r="G72" s="13"/>
      <c r="H72" s="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"/>
      <c r="C73" s="5" t="s">
        <v>74</v>
      </c>
      <c r="D73" s="6" t="s">
        <v>8</v>
      </c>
      <c r="E73" s="6" t="s">
        <v>15</v>
      </c>
      <c r="F73" s="6" t="s">
        <v>70</v>
      </c>
      <c r="G73" s="13"/>
      <c r="H73" s="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"/>
      <c r="C74" s="5"/>
      <c r="D74" s="6"/>
      <c r="E74" s="6"/>
      <c r="F74" s="6"/>
      <c r="G74" s="13"/>
      <c r="H74" s="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"/>
      <c r="C75" s="5"/>
      <c r="D75" s="6"/>
      <c r="E75" s="6"/>
      <c r="F75" s="6"/>
      <c r="G75" s="13"/>
      <c r="H75" s="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" t="s">
        <v>75</v>
      </c>
      <c r="C76" s="5"/>
      <c r="D76" s="6"/>
      <c r="E76" s="6"/>
      <c r="F76" s="6" t="s">
        <v>8</v>
      </c>
      <c r="G76" s="13"/>
      <c r="H76" s="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5" t="s">
        <v>76</v>
      </c>
      <c r="D77" s="6" t="s">
        <v>11</v>
      </c>
      <c r="E77" s="6" t="s">
        <v>15</v>
      </c>
      <c r="F77" s="6" t="s">
        <v>12</v>
      </c>
      <c r="G77" s="13"/>
      <c r="H77" s="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5" t="s">
        <v>77</v>
      </c>
      <c r="D78" s="6" t="s">
        <v>11</v>
      </c>
      <c r="E78" s="6" t="s">
        <v>15</v>
      </c>
      <c r="F78" s="6" t="s">
        <v>12</v>
      </c>
      <c r="G78" s="13"/>
      <c r="H78" s="1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5" t="s">
        <v>78</v>
      </c>
      <c r="D79" s="6" t="s">
        <v>11</v>
      </c>
      <c r="E79" s="6" t="s">
        <v>15</v>
      </c>
      <c r="F79" s="6" t="s">
        <v>12</v>
      </c>
      <c r="G79" s="13"/>
      <c r="H79" s="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5" t="s">
        <v>79</v>
      </c>
      <c r="D80" s="6" t="s">
        <v>11</v>
      </c>
      <c r="E80" s="6" t="s">
        <v>15</v>
      </c>
      <c r="F80" s="6" t="s">
        <v>12</v>
      </c>
      <c r="G80" s="13"/>
      <c r="H80" s="1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5" t="s">
        <v>80</v>
      </c>
      <c r="D81" s="6" t="s">
        <v>11</v>
      </c>
      <c r="E81" s="6" t="s">
        <v>15</v>
      </c>
      <c r="F81" s="6" t="s">
        <v>12</v>
      </c>
      <c r="G81" s="13"/>
      <c r="H81" s="1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5"/>
      <c r="D82" s="6"/>
      <c r="E82" s="6"/>
      <c r="F82" s="6"/>
      <c r="G82" s="13"/>
      <c r="H82" s="1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5"/>
      <c r="C83" s="15" t="s">
        <v>81</v>
      </c>
      <c r="D83" s="16" t="s">
        <v>70</v>
      </c>
      <c r="E83" s="16" t="s">
        <v>8</v>
      </c>
      <c r="F83" s="16" t="s">
        <v>15</v>
      </c>
      <c r="G83" s="13"/>
      <c r="H83" s="1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5"/>
      <c r="C84" s="15" t="s">
        <v>82</v>
      </c>
      <c r="D84" s="16" t="s">
        <v>70</v>
      </c>
      <c r="E84" s="16" t="s">
        <v>8</v>
      </c>
      <c r="F84" s="16" t="s">
        <v>15</v>
      </c>
      <c r="G84" s="13"/>
      <c r="H84" s="1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4"/>
      <c r="E85" s="4"/>
      <c r="F85" s="4"/>
      <c r="G85" s="1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4"/>
      <c r="E86" s="4"/>
      <c r="F86" s="4"/>
      <c r="G86" s="1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4"/>
      <c r="E87" s="4"/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4"/>
      <c r="E88" s="4"/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4"/>
      <c r="E89" s="4"/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4"/>
      <c r="E90" s="4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4"/>
      <c r="E91" s="4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4"/>
      <c r="E92" s="4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4"/>
      <c r="E93" s="4"/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4"/>
      <c r="E94" s="4"/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4"/>
      <c r="E95" s="4"/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4"/>
      <c r="E96" s="4"/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4"/>
      <c r="E97" s="4"/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4"/>
      <c r="E98" s="4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4"/>
      <c r="E99" s="4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4"/>
      <c r="E100" s="4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4"/>
      <c r="E101" s="4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4"/>
      <c r="E102" s="4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4"/>
      <c r="E103" s="4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4"/>
      <c r="E104" s="4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4"/>
      <c r="E105" s="4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4"/>
      <c r="E106" s="4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4"/>
      <c r="E107" s="4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4"/>
      <c r="E108" s="4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4"/>
      <c r="E109" s="4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4"/>
      <c r="E110" s="4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4"/>
      <c r="E111" s="4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4"/>
      <c r="E112" s="4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4"/>
      <c r="E113" s="4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4"/>
      <c r="E114" s="4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4"/>
      <c r="E115" s="4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4"/>
      <c r="E116" s="4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4"/>
      <c r="E117" s="4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4"/>
      <c r="E118" s="4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4"/>
      <c r="E119" s="4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4"/>
      <c r="E120" s="4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4"/>
      <c r="E121" s="4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4"/>
      <c r="E122" s="4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4"/>
      <c r="E123" s="4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4"/>
      <c r="E124" s="4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4"/>
      <c r="E125" s="4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4"/>
      <c r="E126" s="4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4"/>
      <c r="E127" s="4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4"/>
      <c r="E128" s="4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4"/>
      <c r="E129" s="4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4"/>
      <c r="E130" s="4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4"/>
      <c r="E131" s="4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4"/>
      <c r="E132" s="4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4"/>
      <c r="E133" s="4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4"/>
      <c r="E134" s="4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4"/>
      <c r="E135" s="4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4"/>
      <c r="E136" s="4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4"/>
      <c r="E137" s="4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4"/>
      <c r="E138" s="4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4"/>
      <c r="E139" s="4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4"/>
      <c r="E140" s="4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4"/>
      <c r="E141" s="4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4"/>
      <c r="E142" s="4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4"/>
      <c r="E143" s="4"/>
      <c r="F143" s="4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4"/>
      <c r="E144" s="4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4"/>
      <c r="E145" s="4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4"/>
      <c r="E146" s="4"/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4"/>
      <c r="E147" s="4"/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4"/>
      <c r="E148" s="4"/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4"/>
      <c r="E149" s="4"/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4"/>
      <c r="E150" s="4"/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4"/>
      <c r="E151" s="4"/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4"/>
      <c r="E152" s="4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4"/>
      <c r="E153" s="4"/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4"/>
      <c r="E154" s="4"/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4"/>
      <c r="E155" s="4"/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4"/>
      <c r="E156" s="4"/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4"/>
      <c r="E157" s="4"/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4"/>
      <c r="E158" s="4"/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4"/>
      <c r="E159" s="4"/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4"/>
      <c r="E160" s="4"/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4"/>
      <c r="E161" s="4"/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4"/>
      <c r="E162" s="4"/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4"/>
      <c r="E163" s="4"/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4"/>
      <c r="E164" s="4"/>
      <c r="F164" s="4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4"/>
      <c r="E165" s="4"/>
      <c r="F165" s="4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4"/>
      <c r="E166" s="4"/>
      <c r="F166" s="4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4"/>
      <c r="E167" s="4"/>
      <c r="F167" s="4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4"/>
      <c r="E168" s="4"/>
      <c r="F168" s="4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4"/>
      <c r="E169" s="4"/>
      <c r="F169" s="4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4"/>
      <c r="E170" s="4"/>
      <c r="F170" s="4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4"/>
      <c r="E171" s="4"/>
      <c r="F171" s="4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4"/>
      <c r="E172" s="4"/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4"/>
      <c r="E173" s="4"/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4"/>
      <c r="E174" s="4"/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4"/>
      <c r="E175" s="4"/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4"/>
      <c r="E176" s="4"/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4"/>
      <c r="E177" s="4"/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4"/>
      <c r="E178" s="4"/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4"/>
      <c r="E179" s="4"/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4"/>
      <c r="E180" s="4"/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4"/>
      <c r="E181" s="4"/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4"/>
      <c r="E182" s="4"/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4"/>
      <c r="E183" s="4"/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4"/>
      <c r="E184" s="4"/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4"/>
      <c r="E185" s="4"/>
      <c r="F185" s="4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4"/>
      <c r="E186" s="4"/>
      <c r="F186" s="4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4"/>
      <c r="E187" s="4"/>
      <c r="F187" s="4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4"/>
      <c r="E188" s="4"/>
      <c r="F188" s="4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4"/>
      <c r="E189" s="4"/>
      <c r="F189" s="4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4"/>
      <c r="E190" s="4"/>
      <c r="F190" s="4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4"/>
      <c r="E191" s="4"/>
      <c r="F191" s="4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4"/>
      <c r="E192" s="4"/>
      <c r="F192" s="4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4"/>
      <c r="E193" s="4"/>
      <c r="F193" s="4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4"/>
      <c r="E194" s="4"/>
      <c r="F194" s="4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4"/>
      <c r="E195" s="4"/>
      <c r="F195" s="4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4"/>
      <c r="E196" s="4"/>
      <c r="F196" s="4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4"/>
      <c r="E197" s="4"/>
      <c r="F197" s="4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4"/>
      <c r="E198" s="4"/>
      <c r="F198" s="4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4"/>
      <c r="E199" s="4"/>
      <c r="F199" s="4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4"/>
      <c r="E200" s="4"/>
      <c r="F200" s="4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4"/>
      <c r="E201" s="4"/>
      <c r="F201" s="4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4"/>
      <c r="E202" s="4"/>
      <c r="F202" s="4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4"/>
      <c r="E203" s="4"/>
      <c r="F203" s="4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4"/>
      <c r="E204" s="4"/>
      <c r="F204" s="4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4"/>
      <c r="E205" s="4"/>
      <c r="F205" s="4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4"/>
      <c r="E206" s="4"/>
      <c r="F206" s="4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4"/>
      <c r="E207" s="4"/>
      <c r="F207" s="4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4"/>
      <c r="E208" s="4"/>
      <c r="F208" s="4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4"/>
      <c r="E209" s="4"/>
      <c r="F209" s="4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4"/>
      <c r="E210" s="4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4"/>
      <c r="E211" s="4"/>
      <c r="F211" s="4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4"/>
      <c r="E212" s="4"/>
      <c r="F212" s="4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4"/>
      <c r="E213" s="4"/>
      <c r="F213" s="4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4"/>
      <c r="E214" s="4"/>
      <c r="F214" s="4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4"/>
      <c r="E215" s="4"/>
      <c r="F215" s="4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4"/>
      <c r="E216" s="4"/>
      <c r="F216" s="4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4"/>
      <c r="E217" s="4"/>
      <c r="F217" s="4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4"/>
      <c r="E218" s="4"/>
      <c r="F218" s="4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4"/>
      <c r="E219" s="4"/>
      <c r="F219" s="4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4"/>
      <c r="E220" s="4"/>
      <c r="F220" s="4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4"/>
      <c r="E221" s="4"/>
      <c r="F221" s="4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4"/>
      <c r="E222" s="4"/>
      <c r="F222" s="4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4"/>
      <c r="E223" s="4"/>
      <c r="F223" s="4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4"/>
      <c r="E224" s="4"/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4"/>
      <c r="E225" s="4"/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4"/>
      <c r="E226" s="4"/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4"/>
      <c r="E227" s="4"/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4"/>
      <c r="E228" s="4"/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4"/>
      <c r="E229" s="4"/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4"/>
      <c r="E230" s="4"/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4"/>
      <c r="E231" s="4"/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4"/>
      <c r="E232" s="4"/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4"/>
      <c r="E233" s="4"/>
      <c r="F233" s="4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4"/>
      <c r="E234" s="4"/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4"/>
      <c r="E235" s="4"/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4"/>
      <c r="E236" s="4"/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4"/>
      <c r="E237" s="4"/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4"/>
      <c r="E238" s="4"/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4"/>
      <c r="E239" s="4"/>
      <c r="F239" s="4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4"/>
      <c r="E240" s="4"/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4"/>
      <c r="E241" s="4"/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4"/>
      <c r="E242" s="4"/>
      <c r="F242" s="4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4"/>
      <c r="E243" s="4"/>
      <c r="F243" s="4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4"/>
      <c r="E244" s="4"/>
      <c r="F244" s="4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4"/>
      <c r="E245" s="4"/>
      <c r="F245" s="4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4"/>
      <c r="E246" s="4"/>
      <c r="F246" s="4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4"/>
      <c r="E247" s="4"/>
      <c r="F247" s="4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4"/>
      <c r="E248" s="4"/>
      <c r="F248" s="4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4"/>
      <c r="E249" s="4"/>
      <c r="F249" s="4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4"/>
      <c r="E250" s="4"/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4"/>
      <c r="E251" s="4"/>
      <c r="F251" s="4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4"/>
      <c r="E252" s="4"/>
      <c r="F252" s="4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4"/>
      <c r="E253" s="4"/>
      <c r="F253" s="4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4"/>
      <c r="E254" s="4"/>
      <c r="F254" s="4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4"/>
      <c r="E255" s="4"/>
      <c r="F255" s="4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4"/>
      <c r="E256" s="4"/>
      <c r="F256" s="4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4"/>
      <c r="E257" s="4"/>
      <c r="F257" s="4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4"/>
      <c r="E258" s="4"/>
      <c r="F258" s="4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4"/>
      <c r="E259" s="4"/>
      <c r="F259" s="4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4"/>
      <c r="E260" s="4"/>
      <c r="F260" s="4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4"/>
      <c r="E261" s="4"/>
      <c r="F261" s="4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4"/>
      <c r="E262" s="4"/>
      <c r="F262" s="4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4"/>
      <c r="E263" s="4"/>
      <c r="F263" s="4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4"/>
      <c r="E264" s="4"/>
      <c r="F264" s="4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4"/>
      <c r="E265" s="4"/>
      <c r="F265" s="4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4"/>
      <c r="E266" s="4"/>
      <c r="F266" s="4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4"/>
      <c r="E267" s="4"/>
      <c r="F267" s="4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4"/>
      <c r="E268" s="4"/>
      <c r="F268" s="4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4"/>
      <c r="E269" s="4"/>
      <c r="F269" s="4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4"/>
      <c r="E270" s="4"/>
      <c r="F270" s="4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4"/>
      <c r="E271" s="4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4"/>
      <c r="E272" s="4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4"/>
      <c r="E273" s="4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4"/>
      <c r="E274" s="4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4"/>
      <c r="E275" s="4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4"/>
      <c r="E276" s="4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4"/>
      <c r="E277" s="4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4"/>
      <c r="E278" s="4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4"/>
      <c r="E279" s="4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4"/>
      <c r="E280" s="4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4"/>
      <c r="E281" s="4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4"/>
      <c r="E282" s="4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4"/>
      <c r="E283" s="4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4"/>
      <c r="E284" s="4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4"/>
      <c r="E285" s="4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4"/>
      <c r="E286" s="4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4"/>
      <c r="E287" s="4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4"/>
      <c r="E288" s="4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4"/>
      <c r="E289" s="4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4"/>
      <c r="E290" s="4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4"/>
      <c r="E291" s="4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4"/>
      <c r="E292" s="4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4"/>
      <c r="E293" s="4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4"/>
      <c r="E294" s="4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4"/>
      <c r="E295" s="4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4"/>
      <c r="E296" s="4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4"/>
      <c r="E297" s="4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4"/>
      <c r="E298" s="4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4"/>
      <c r="E299" s="4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4"/>
      <c r="E300" s="4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4"/>
      <c r="E301" s="4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4"/>
      <c r="E302" s="4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4"/>
      <c r="E303" s="4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4"/>
      <c r="E304" s="4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4"/>
      <c r="E305" s="4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4"/>
      <c r="E306" s="4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4"/>
      <c r="E307" s="4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4"/>
      <c r="E308" s="4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4"/>
      <c r="E309" s="4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4"/>
      <c r="E310" s="4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4"/>
      <c r="E311" s="4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4"/>
      <c r="E312" s="4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4"/>
      <c r="E313" s="4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4"/>
      <c r="E314" s="4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4"/>
      <c r="E315" s="4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4"/>
      <c r="E316" s="4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4"/>
      <c r="E317" s="4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4"/>
      <c r="E318" s="4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4"/>
      <c r="E319" s="4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4"/>
      <c r="E320" s="4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4"/>
      <c r="E321" s="4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4"/>
      <c r="E322" s="4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4"/>
      <c r="E323" s="4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4"/>
      <c r="E324" s="4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4"/>
      <c r="E325" s="4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4"/>
      <c r="E326" s="4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4"/>
      <c r="E327" s="4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4"/>
      <c r="E328" s="4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4"/>
      <c r="E329" s="4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4"/>
      <c r="E330" s="4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4"/>
      <c r="E331" s="4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4"/>
      <c r="E332" s="4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4"/>
      <c r="E333" s="4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4"/>
      <c r="E334" s="4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4"/>
      <c r="E335" s="4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4"/>
      <c r="E336" s="4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4"/>
      <c r="E337" s="4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4"/>
      <c r="E338" s="4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4"/>
      <c r="E339" s="4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4"/>
      <c r="E340" s="4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4"/>
      <c r="E341" s="4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4"/>
      <c r="E342" s="4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4"/>
      <c r="E343" s="4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4"/>
      <c r="E344" s="4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4"/>
      <c r="E345" s="4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4"/>
      <c r="E346" s="4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4"/>
      <c r="E347" s="4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4"/>
      <c r="E348" s="4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4"/>
      <c r="E349" s="4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4"/>
      <c r="E350" s="4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4"/>
      <c r="E351" s="4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4"/>
      <c r="E352" s="4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4"/>
      <c r="E353" s="4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4"/>
      <c r="E354" s="4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4"/>
      <c r="E355" s="4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4"/>
      <c r="E356" s="4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4"/>
      <c r="E357" s="4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4"/>
      <c r="E358" s="4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4"/>
      <c r="E359" s="4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4"/>
      <c r="E360" s="4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4"/>
      <c r="E361" s="4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4"/>
      <c r="E362" s="4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4"/>
      <c r="E363" s="4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4"/>
      <c r="E364" s="4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4"/>
      <c r="E365" s="4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4"/>
      <c r="E366" s="4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4"/>
      <c r="E367" s="4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4"/>
      <c r="E368" s="4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4"/>
      <c r="E369" s="4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4"/>
      <c r="E370" s="4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4"/>
      <c r="E371" s="4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4"/>
      <c r="E372" s="4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4"/>
      <c r="E373" s="4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4"/>
      <c r="E374" s="4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4"/>
      <c r="E375" s="4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4"/>
      <c r="E376" s="4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4"/>
      <c r="E377" s="4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4"/>
      <c r="E378" s="4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4"/>
      <c r="E379" s="4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4"/>
      <c r="E380" s="4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4"/>
      <c r="E381" s="4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4"/>
      <c r="E382" s="4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4"/>
      <c r="E383" s="4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4"/>
      <c r="E384" s="4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4"/>
      <c r="E385" s="4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4"/>
      <c r="E386" s="4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4"/>
      <c r="E387" s="4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4"/>
      <c r="E388" s="4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4"/>
      <c r="E389" s="4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4"/>
      <c r="E390" s="4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4"/>
      <c r="E391" s="4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4"/>
      <c r="E392" s="4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4"/>
      <c r="E393" s="4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4"/>
      <c r="E394" s="4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4"/>
      <c r="E395" s="4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4"/>
      <c r="E396" s="4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4"/>
      <c r="E397" s="4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4"/>
      <c r="E398" s="4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4"/>
      <c r="E399" s="4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4"/>
      <c r="E400" s="4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4"/>
      <c r="E401" s="4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4"/>
      <c r="E402" s="4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4"/>
      <c r="E403" s="4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4"/>
      <c r="E404" s="4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4"/>
      <c r="E405" s="4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4"/>
      <c r="E406" s="4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4"/>
      <c r="E407" s="4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4"/>
      <c r="E408" s="4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4"/>
      <c r="E409" s="4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4"/>
      <c r="E410" s="4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4"/>
      <c r="E411" s="4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4"/>
      <c r="E412" s="4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4"/>
      <c r="E413" s="4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4"/>
      <c r="E414" s="4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4"/>
      <c r="E415" s="4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4"/>
      <c r="E416" s="4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4"/>
      <c r="E417" s="4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4"/>
      <c r="E418" s="4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4"/>
      <c r="E419" s="4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4"/>
      <c r="E420" s="4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4"/>
      <c r="E421" s="4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4"/>
      <c r="E422" s="4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4"/>
      <c r="E423" s="4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4"/>
      <c r="E424" s="4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4"/>
      <c r="E425" s="4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4"/>
      <c r="E426" s="4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4"/>
      <c r="E427" s="4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4"/>
      <c r="E428" s="4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4"/>
      <c r="E429" s="4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4"/>
      <c r="E430" s="4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4"/>
      <c r="E431" s="4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4"/>
      <c r="E432" s="4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4"/>
      <c r="E433" s="4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4"/>
      <c r="E434" s="4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4"/>
      <c r="E435" s="4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4"/>
      <c r="E436" s="4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4"/>
      <c r="E437" s="4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4"/>
      <c r="E438" s="4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4"/>
      <c r="E439" s="4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4"/>
      <c r="E440" s="4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4"/>
      <c r="E441" s="4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4"/>
      <c r="E442" s="4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4"/>
      <c r="E443" s="4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4"/>
      <c r="E444" s="4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4"/>
      <c r="E445" s="4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4"/>
      <c r="E446" s="4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4"/>
      <c r="E447" s="4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4"/>
      <c r="E448" s="4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4"/>
      <c r="E449" s="4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4"/>
      <c r="E450" s="4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4"/>
      <c r="E451" s="4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4"/>
      <c r="E452" s="4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4"/>
      <c r="E453" s="4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4"/>
      <c r="E454" s="4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4"/>
      <c r="E455" s="4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4"/>
      <c r="E456" s="4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4"/>
      <c r="E457" s="4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4"/>
      <c r="E458" s="4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4"/>
      <c r="E459" s="4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4"/>
      <c r="E460" s="4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4"/>
      <c r="E461" s="4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4"/>
      <c r="E462" s="4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4"/>
      <c r="E463" s="4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4"/>
      <c r="E464" s="4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4"/>
      <c r="E465" s="4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4"/>
      <c r="E466" s="4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4"/>
      <c r="E467" s="4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4"/>
      <c r="E468" s="4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4"/>
      <c r="E469" s="4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4"/>
      <c r="E470" s="4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4"/>
      <c r="E471" s="4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4"/>
      <c r="E472" s="4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4"/>
      <c r="E473" s="4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4"/>
      <c r="E474" s="4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4"/>
      <c r="E475" s="4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4"/>
      <c r="E476" s="4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4"/>
      <c r="E477" s="4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4"/>
      <c r="E478" s="4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4"/>
      <c r="E479" s="4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4"/>
      <c r="E480" s="4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4"/>
      <c r="E481" s="4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4"/>
      <c r="E482" s="4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4"/>
      <c r="E483" s="4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4"/>
      <c r="E484" s="4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4"/>
      <c r="E485" s="4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4"/>
      <c r="E486" s="4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4"/>
      <c r="E487" s="4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4"/>
      <c r="E488" s="4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4"/>
      <c r="E489" s="4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4"/>
      <c r="E490" s="4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4"/>
      <c r="E491" s="4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4"/>
      <c r="E492" s="4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4"/>
      <c r="E493" s="4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4"/>
      <c r="E494" s="4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4"/>
      <c r="E495" s="4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4"/>
      <c r="E496" s="4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4"/>
      <c r="E497" s="4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4"/>
      <c r="E498" s="4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4"/>
      <c r="E499" s="4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4"/>
      <c r="E500" s="4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4"/>
      <c r="E501" s="4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4"/>
      <c r="E502" s="4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4"/>
      <c r="E503" s="4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4"/>
      <c r="E504" s="4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4"/>
      <c r="E505" s="4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4"/>
      <c r="E506" s="4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4"/>
      <c r="E507" s="4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4"/>
      <c r="E508" s="4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4"/>
      <c r="E509" s="4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4"/>
      <c r="E510" s="4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4"/>
      <c r="E511" s="4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4"/>
      <c r="E512" s="4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4"/>
      <c r="E513" s="4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4"/>
      <c r="E514" s="4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4"/>
      <c r="E515" s="4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4"/>
      <c r="E516" s="4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4"/>
      <c r="E517" s="4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4"/>
      <c r="E518" s="4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4"/>
      <c r="E519" s="4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4"/>
      <c r="E520" s="4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4"/>
      <c r="E521" s="4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4"/>
      <c r="E522" s="4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4"/>
      <c r="E523" s="4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4"/>
      <c r="E524" s="4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4"/>
      <c r="E525" s="4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4"/>
      <c r="E526" s="4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4"/>
      <c r="E527" s="4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4"/>
      <c r="E528" s="4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4"/>
      <c r="E529" s="4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4"/>
      <c r="E530" s="4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4"/>
      <c r="E531" s="4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4"/>
      <c r="E532" s="4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4"/>
      <c r="E533" s="4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4"/>
      <c r="E534" s="4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4"/>
      <c r="E535" s="4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4"/>
      <c r="E536" s="4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4"/>
      <c r="E537" s="4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4"/>
      <c r="E538" s="4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4"/>
      <c r="E539" s="4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4"/>
      <c r="E540" s="4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4"/>
      <c r="E541" s="4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4"/>
      <c r="E542" s="4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4"/>
      <c r="E543" s="4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4"/>
      <c r="E544" s="4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4"/>
      <c r="E545" s="4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4"/>
      <c r="E546" s="4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4"/>
      <c r="E547" s="4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4"/>
      <c r="E548" s="4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4"/>
      <c r="E549" s="4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4"/>
      <c r="E550" s="4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4"/>
      <c r="E551" s="4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4"/>
      <c r="E552" s="4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4"/>
      <c r="E553" s="4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4"/>
      <c r="E554" s="4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4"/>
      <c r="E555" s="4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4"/>
      <c r="E556" s="4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4"/>
      <c r="E557" s="4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4"/>
      <c r="E558" s="4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4"/>
      <c r="E559" s="4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4"/>
      <c r="E560" s="4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4"/>
      <c r="E561" s="4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4"/>
      <c r="E562" s="4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4"/>
      <c r="E563" s="4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4"/>
      <c r="E564" s="4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4"/>
      <c r="E565" s="4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4"/>
      <c r="E566" s="4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4"/>
      <c r="E567" s="4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4"/>
      <c r="E568" s="4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4"/>
      <c r="E569" s="4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4"/>
      <c r="E570" s="4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4"/>
      <c r="E571" s="4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4"/>
      <c r="E572" s="4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4"/>
      <c r="E573" s="4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4"/>
      <c r="E574" s="4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4"/>
      <c r="E575" s="4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4"/>
      <c r="E576" s="4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4"/>
      <c r="E577" s="4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4"/>
      <c r="E578" s="4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4"/>
      <c r="E579" s="4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4"/>
      <c r="E580" s="4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4"/>
      <c r="E581" s="4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4"/>
      <c r="E582" s="4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4"/>
      <c r="E583" s="4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4"/>
      <c r="E584" s="4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4"/>
      <c r="E585" s="4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4"/>
      <c r="E586" s="4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4"/>
      <c r="E587" s="4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4"/>
      <c r="E588" s="4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4"/>
      <c r="E589" s="4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4"/>
      <c r="E590" s="4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4"/>
      <c r="E591" s="4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4"/>
      <c r="E592" s="4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4"/>
      <c r="E593" s="4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4"/>
      <c r="E594" s="4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4"/>
      <c r="E595" s="4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4"/>
      <c r="E596" s="4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4"/>
      <c r="E597" s="4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4"/>
      <c r="E598" s="4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4"/>
      <c r="E599" s="4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4"/>
      <c r="E600" s="4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4"/>
      <c r="E601" s="4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4"/>
      <c r="E602" s="4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4"/>
      <c r="E603" s="4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4"/>
      <c r="E604" s="4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4"/>
      <c r="E605" s="4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4"/>
      <c r="E606" s="4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4"/>
      <c r="E607" s="4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4"/>
      <c r="E608" s="4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4"/>
      <c r="E609" s="4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4"/>
      <c r="E610" s="4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4"/>
      <c r="E611" s="4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4"/>
      <c r="E612" s="4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4"/>
      <c r="E613" s="4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4"/>
      <c r="E614" s="4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4"/>
      <c r="E615" s="4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4"/>
      <c r="E616" s="4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4"/>
      <c r="E617" s="4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4"/>
      <c r="E618" s="4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4"/>
      <c r="E619" s="4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4"/>
      <c r="E620" s="4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4"/>
      <c r="E621" s="4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4"/>
      <c r="E622" s="4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4"/>
      <c r="E623" s="4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4"/>
      <c r="E624" s="4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4"/>
      <c r="E625" s="4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4"/>
      <c r="E626" s="4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4"/>
      <c r="E627" s="4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4"/>
      <c r="E628" s="4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4"/>
      <c r="E629" s="4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4"/>
      <c r="E630" s="4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4"/>
      <c r="E631" s="4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4"/>
      <c r="E632" s="4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4"/>
      <c r="E633" s="4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4"/>
      <c r="E634" s="4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4"/>
      <c r="E635" s="4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4"/>
      <c r="E636" s="4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4"/>
      <c r="E637" s="4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4"/>
      <c r="E638" s="4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4"/>
      <c r="E639" s="4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4"/>
      <c r="E640" s="4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4"/>
      <c r="E641" s="4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4"/>
      <c r="E642" s="4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4"/>
      <c r="E643" s="4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4"/>
      <c r="E644" s="4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4"/>
      <c r="E645" s="4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4"/>
      <c r="E646" s="4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4"/>
      <c r="E647" s="4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4"/>
      <c r="E648" s="4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4"/>
      <c r="E649" s="4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4"/>
      <c r="E650" s="4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4"/>
      <c r="E651" s="4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4"/>
      <c r="E652" s="4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4"/>
      <c r="E653" s="4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4"/>
      <c r="E654" s="4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4"/>
      <c r="E655" s="4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4"/>
      <c r="E656" s="4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4"/>
      <c r="E657" s="4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4"/>
      <c r="E658" s="4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4"/>
      <c r="E659" s="4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4"/>
      <c r="E660" s="4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4"/>
      <c r="E661" s="4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4"/>
      <c r="E662" s="4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4"/>
      <c r="E663" s="4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4"/>
      <c r="E664" s="4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4"/>
      <c r="E665" s="4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4"/>
      <c r="E666" s="4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4"/>
      <c r="E667" s="4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4"/>
      <c r="E668" s="4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4"/>
      <c r="E669" s="4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4"/>
      <c r="E670" s="4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4"/>
      <c r="E671" s="4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4"/>
      <c r="E672" s="4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4"/>
      <c r="E673" s="4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4"/>
      <c r="E674" s="4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4"/>
      <c r="E675" s="4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4"/>
      <c r="E676" s="4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4"/>
      <c r="E677" s="4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4"/>
      <c r="E678" s="4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4"/>
      <c r="E679" s="4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4"/>
      <c r="E680" s="4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4"/>
      <c r="E681" s="4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4"/>
      <c r="E682" s="4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4"/>
      <c r="E683" s="4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4"/>
      <c r="E684" s="4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4"/>
      <c r="E685" s="4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4"/>
      <c r="E686" s="4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4"/>
      <c r="E687" s="4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4"/>
      <c r="E688" s="4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4"/>
      <c r="E689" s="4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4"/>
      <c r="E690" s="4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4"/>
      <c r="E691" s="4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4"/>
      <c r="E692" s="4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4"/>
      <c r="E693" s="4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4"/>
      <c r="E694" s="4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4"/>
      <c r="E695" s="4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4"/>
      <c r="E696" s="4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4"/>
      <c r="E697" s="4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4"/>
      <c r="E698" s="4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4"/>
      <c r="E699" s="4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4"/>
      <c r="E700" s="4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4"/>
      <c r="E701" s="4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4"/>
      <c r="E702" s="4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4"/>
      <c r="E703" s="4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4"/>
      <c r="E704" s="4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4"/>
      <c r="E705" s="4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4"/>
      <c r="E706" s="4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4"/>
      <c r="E707" s="4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4"/>
      <c r="E708" s="4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4"/>
      <c r="E709" s="4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4"/>
      <c r="E710" s="4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4"/>
      <c r="E711" s="4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4"/>
      <c r="E712" s="4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4"/>
      <c r="E713" s="4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4"/>
      <c r="E714" s="4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4"/>
      <c r="E715" s="4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4"/>
      <c r="E716" s="4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4"/>
      <c r="E717" s="4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4"/>
      <c r="E718" s="4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4"/>
      <c r="E719" s="4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4"/>
      <c r="E720" s="4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4"/>
      <c r="E721" s="4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4"/>
      <c r="E722" s="4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4"/>
      <c r="E723" s="4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4"/>
      <c r="E724" s="4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4"/>
      <c r="E725" s="4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4"/>
      <c r="E726" s="4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4"/>
      <c r="E727" s="4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4"/>
      <c r="E728" s="4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4"/>
      <c r="E729" s="4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4"/>
      <c r="E730" s="4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4"/>
      <c r="E731" s="4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4"/>
      <c r="E732" s="4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4"/>
      <c r="E733" s="4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4"/>
      <c r="E734" s="4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4"/>
      <c r="E735" s="4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4"/>
      <c r="E736" s="4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4"/>
      <c r="E737" s="4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4"/>
      <c r="E738" s="4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4"/>
      <c r="E739" s="4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4"/>
      <c r="E740" s="4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4"/>
      <c r="E741" s="4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4"/>
      <c r="E742" s="4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4"/>
      <c r="E743" s="4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4"/>
      <c r="E744" s="4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4"/>
      <c r="E745" s="4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4"/>
      <c r="E746" s="4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4"/>
      <c r="E747" s="4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4"/>
      <c r="E748" s="4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4"/>
      <c r="E749" s="4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4"/>
      <c r="E750" s="4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4"/>
      <c r="E751" s="4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4"/>
      <c r="E752" s="4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4"/>
      <c r="E753" s="4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4"/>
      <c r="E754" s="4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4"/>
      <c r="E755" s="4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4"/>
      <c r="E756" s="4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4"/>
      <c r="E757" s="4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4"/>
      <c r="E758" s="4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4"/>
      <c r="E759" s="4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4"/>
      <c r="E760" s="4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4"/>
      <c r="E761" s="4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4"/>
      <c r="E762" s="4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4"/>
      <c r="E763" s="4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4"/>
      <c r="E764" s="4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4"/>
      <c r="E765" s="4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4"/>
      <c r="E766" s="4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4"/>
      <c r="E767" s="4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4"/>
      <c r="E768" s="4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4"/>
      <c r="E769" s="4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4"/>
      <c r="E770" s="4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4"/>
      <c r="E771" s="4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4"/>
      <c r="E772" s="4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4"/>
      <c r="E773" s="4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4"/>
      <c r="E774" s="4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4"/>
      <c r="E775" s="4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4"/>
      <c r="E776" s="4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4"/>
      <c r="E777" s="4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4"/>
      <c r="E778" s="4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4"/>
      <c r="E779" s="4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4"/>
      <c r="E780" s="4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4"/>
      <c r="E781" s="4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4"/>
      <c r="E782" s="4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4"/>
      <c r="E783" s="4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4"/>
      <c r="E784" s="4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4"/>
      <c r="E785" s="4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4"/>
      <c r="E786" s="4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4"/>
      <c r="E787" s="4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4"/>
      <c r="E788" s="4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4"/>
      <c r="E789" s="4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4"/>
      <c r="E790" s="4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4"/>
      <c r="E791" s="4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4"/>
      <c r="E792" s="4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4"/>
      <c r="E793" s="4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4"/>
      <c r="E794" s="4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4"/>
      <c r="E795" s="4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4"/>
      <c r="E796" s="4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4"/>
      <c r="E797" s="4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4"/>
      <c r="E798" s="4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4"/>
      <c r="E799" s="4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4"/>
      <c r="E800" s="4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4"/>
      <c r="E801" s="4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4"/>
      <c r="E802" s="4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4"/>
      <c r="E803" s="4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4"/>
      <c r="E804" s="4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4"/>
      <c r="E805" s="4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4"/>
      <c r="E806" s="4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4"/>
      <c r="E807" s="4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4"/>
      <c r="E808" s="4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4"/>
      <c r="E809" s="4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4"/>
      <c r="E810" s="4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4"/>
      <c r="E811" s="4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4"/>
      <c r="E812" s="4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4"/>
      <c r="E813" s="4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4"/>
      <c r="E814" s="4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4"/>
      <c r="E815" s="4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4"/>
      <c r="E816" s="4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4"/>
      <c r="E817" s="4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4"/>
      <c r="E818" s="4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4"/>
      <c r="E819" s="4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4"/>
      <c r="E820" s="4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4"/>
      <c r="E821" s="4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4"/>
      <c r="E822" s="4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4"/>
      <c r="E823" s="4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4"/>
      <c r="E824" s="4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4"/>
      <c r="E825" s="4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4"/>
      <c r="E826" s="4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4"/>
      <c r="E827" s="4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4"/>
      <c r="E828" s="4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4"/>
      <c r="E829" s="4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4"/>
      <c r="E830" s="4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4"/>
      <c r="E831" s="4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4"/>
      <c r="E832" s="4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4"/>
      <c r="E833" s="4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4"/>
      <c r="E834" s="4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4"/>
      <c r="E835" s="4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4"/>
      <c r="E836" s="4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4"/>
      <c r="E837" s="4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4"/>
      <c r="E838" s="4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4"/>
      <c r="E839" s="4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4"/>
      <c r="E840" s="4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4"/>
      <c r="E841" s="4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4"/>
      <c r="E842" s="4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4"/>
      <c r="E843" s="4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4"/>
      <c r="E844" s="4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4"/>
      <c r="E845" s="4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4"/>
      <c r="E846" s="4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4"/>
      <c r="E847" s="4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4"/>
      <c r="E848" s="4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4"/>
      <c r="E849" s="4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4"/>
      <c r="E850" s="4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4"/>
      <c r="E851" s="4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4"/>
      <c r="E852" s="4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4"/>
      <c r="E853" s="4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4"/>
      <c r="E854" s="4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4"/>
      <c r="E855" s="4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4"/>
      <c r="E856" s="4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4"/>
      <c r="E857" s="4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4"/>
      <c r="E858" s="4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4"/>
      <c r="E859" s="4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4"/>
      <c r="E860" s="4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4"/>
      <c r="E861" s="4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4"/>
      <c r="E862" s="4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4"/>
      <c r="E863" s="4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4"/>
      <c r="E864" s="4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4"/>
      <c r="E865" s="4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4"/>
      <c r="E866" s="4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4"/>
      <c r="E867" s="4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4"/>
      <c r="E868" s="4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4"/>
      <c r="E869" s="4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4"/>
      <c r="E870" s="4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4"/>
      <c r="E871" s="4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4"/>
      <c r="E872" s="4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4"/>
      <c r="E873" s="4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4"/>
      <c r="E874" s="4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4"/>
      <c r="E875" s="4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4"/>
      <c r="E876" s="4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4"/>
      <c r="E877" s="4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4"/>
      <c r="E878" s="4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4"/>
      <c r="E879" s="4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4"/>
      <c r="E880" s="4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4"/>
      <c r="E881" s="4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4"/>
      <c r="E882" s="4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4"/>
      <c r="E883" s="4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4"/>
      <c r="E884" s="4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4"/>
      <c r="E885" s="4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4"/>
      <c r="E886" s="4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4"/>
      <c r="E887" s="4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4"/>
      <c r="E888" s="4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4"/>
      <c r="E889" s="4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4"/>
      <c r="E890" s="4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4"/>
      <c r="E891" s="4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4"/>
      <c r="E892" s="4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4"/>
      <c r="E893" s="4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4"/>
      <c r="E894" s="4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4"/>
      <c r="E895" s="4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4"/>
      <c r="E896" s="4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4"/>
      <c r="E897" s="4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4"/>
      <c r="E898" s="4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4"/>
      <c r="E899" s="4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4"/>
      <c r="E900" s="4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4"/>
      <c r="E901" s="4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4"/>
      <c r="E902" s="4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4"/>
      <c r="E903" s="4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4"/>
      <c r="E904" s="4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4"/>
      <c r="E905" s="4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4"/>
      <c r="E906" s="4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4"/>
      <c r="E907" s="4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4"/>
      <c r="E908" s="4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4"/>
      <c r="E909" s="4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4"/>
      <c r="E910" s="4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4"/>
      <c r="E911" s="4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4"/>
      <c r="E912" s="4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4"/>
      <c r="E913" s="4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4"/>
      <c r="E914" s="4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4"/>
      <c r="E915" s="4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4"/>
      <c r="E916" s="4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4"/>
      <c r="E917" s="4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4"/>
      <c r="E918" s="4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4"/>
      <c r="E919" s="4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4"/>
      <c r="E920" s="4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4"/>
      <c r="E921" s="4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4"/>
      <c r="E922" s="4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4"/>
      <c r="E923" s="4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4"/>
      <c r="E924" s="4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4"/>
      <c r="E925" s="4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4"/>
      <c r="E926" s="4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4"/>
      <c r="E927" s="4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4"/>
      <c r="E928" s="4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4"/>
      <c r="E929" s="4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4"/>
      <c r="E930" s="4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4"/>
      <c r="E931" s="4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4"/>
      <c r="E932" s="4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4"/>
      <c r="E933" s="4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4"/>
      <c r="E934" s="4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4"/>
      <c r="E935" s="4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4"/>
      <c r="E936" s="4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4"/>
      <c r="E937" s="4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4"/>
      <c r="E938" s="4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4"/>
      <c r="E939" s="4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4"/>
      <c r="E940" s="4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4"/>
      <c r="E941" s="4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4"/>
      <c r="E942" s="4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4"/>
      <c r="E943" s="4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4"/>
      <c r="E944" s="4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4"/>
      <c r="E945" s="4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4"/>
      <c r="E946" s="4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4"/>
      <c r="E947" s="4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4"/>
      <c r="E948" s="4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4"/>
      <c r="E949" s="4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4"/>
      <c r="E950" s="4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4"/>
      <c r="E951" s="4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4"/>
      <c r="E952" s="4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4"/>
      <c r="E953" s="4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4"/>
      <c r="E954" s="4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4"/>
      <c r="E955" s="4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4"/>
      <c r="E956" s="4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4"/>
      <c r="E957" s="4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4"/>
      <c r="E958" s="4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4"/>
      <c r="E959" s="4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4"/>
      <c r="E960" s="4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4"/>
      <c r="E961" s="4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4"/>
      <c r="E962" s="4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4"/>
      <c r="E963" s="4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4"/>
      <c r="E964" s="4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4"/>
      <c r="E965" s="4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4"/>
      <c r="E966" s="4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4"/>
      <c r="E967" s="4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4"/>
      <c r="E968" s="4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4"/>
      <c r="E969" s="4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4"/>
      <c r="E970" s="4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4"/>
      <c r="E971" s="4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4"/>
      <c r="E972" s="4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4"/>
      <c r="E973" s="4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4"/>
      <c r="E974" s="4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4"/>
      <c r="E975" s="4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4"/>
      <c r="E976" s="4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4"/>
      <c r="E977" s="4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4"/>
      <c r="E978" s="4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4"/>
      <c r="E979" s="4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4"/>
      <c r="E980" s="4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4"/>
      <c r="E981" s="4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4"/>
      <c r="E982" s="4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4"/>
      <c r="E983" s="4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4"/>
      <c r="E984" s="4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4"/>
      <c r="E985" s="4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4"/>
      <c r="E986" s="4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4"/>
      <c r="E987" s="4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4"/>
      <c r="E988" s="4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4"/>
      <c r="E989" s="4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4"/>
      <c r="E990" s="4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4"/>
      <c r="E991" s="4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4"/>
      <c r="E992" s="4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4"/>
      <c r="E993" s="4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4"/>
      <c r="E994" s="4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4"/>
      <c r="E995" s="4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4"/>
      <c r="E996" s="4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4"/>
      <c r="E997" s="4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4"/>
      <c r="E998" s="4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4"/>
      <c r="E999" s="4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4"/>
      <c r="E1000" s="4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4"/>
      <c r="E1001" s="4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4"/>
      <c r="E1002" s="4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4"/>
      <c r="E1003" s="4"/>
      <c r="F1003" s="4"/>
      <c r="G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4"/>
      <c r="E1004" s="4"/>
      <c r="F1004" s="4"/>
      <c r="G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4"/>
      <c r="E1005" s="4"/>
      <c r="F1005" s="4"/>
      <c r="G1005" s="4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4"/>
      <c r="E1006" s="4"/>
      <c r="F1006" s="4"/>
      <c r="G1006" s="4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4"/>
      <c r="E1007" s="4"/>
      <c r="F1007" s="4"/>
      <c r="G1007" s="4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4"/>
      <c r="E1008" s="4"/>
      <c r="F1008" s="4"/>
      <c r="G1008" s="4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4"/>
      <c r="E1009" s="4"/>
      <c r="F1009" s="4"/>
      <c r="G1009" s="4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4"/>
      <c r="E1010" s="4"/>
      <c r="F1010" s="4"/>
      <c r="G1010" s="4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4"/>
      <c r="E1011" s="4"/>
      <c r="F1011" s="4"/>
      <c r="G1011" s="4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4"/>
      <c r="E1012" s="4"/>
      <c r="F1012" s="4"/>
      <c r="G1012" s="4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4"/>
      <c r="E1013" s="4"/>
      <c r="F1013" s="4"/>
      <c r="G1013" s="4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4"/>
      <c r="E1014" s="4"/>
      <c r="F1014" s="4"/>
      <c r="G1014" s="4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4"/>
      <c r="E1015" s="4"/>
      <c r="F1015" s="4"/>
      <c r="G1015" s="4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4"/>
      <c r="E1016" s="4"/>
      <c r="F1016" s="4"/>
      <c r="G1016" s="4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4"/>
      <c r="E1017" s="4"/>
      <c r="F1017" s="4"/>
      <c r="G1017" s="4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4"/>
      <c r="E1018" s="4"/>
      <c r="F1018" s="4"/>
      <c r="G1018" s="4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4"/>
      <c r="E1019" s="4"/>
      <c r="F1019" s="4"/>
      <c r="G1019" s="4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4"/>
      <c r="E1020" s="4"/>
      <c r="F1020" s="4"/>
      <c r="G1020" s="4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4"/>
      <c r="E1021" s="4"/>
      <c r="F1021" s="4"/>
      <c r="G1021" s="4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4"/>
      <c r="E1022" s="4"/>
      <c r="F1022" s="4"/>
      <c r="G1022" s="4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4"/>
      <c r="E1023" s="4"/>
      <c r="F1023" s="4"/>
      <c r="G1023" s="4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4"/>
      <c r="E1024" s="4"/>
      <c r="F1024" s="4"/>
      <c r="G1024" s="4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4"/>
      <c r="E1025" s="4"/>
      <c r="F1025" s="4"/>
      <c r="G1025" s="4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4"/>
      <c r="E1026" s="4"/>
      <c r="F1026" s="4"/>
      <c r="G1026" s="4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4"/>
      <c r="E1027" s="4"/>
      <c r="F1027" s="4"/>
      <c r="G1027" s="4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4"/>
      <c r="E1028" s="4"/>
      <c r="F1028" s="4"/>
      <c r="G1028" s="4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4"/>
      <c r="E1029" s="4"/>
      <c r="F1029" s="4"/>
      <c r="G1029" s="4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4"/>
      <c r="E1030" s="4"/>
      <c r="F1030" s="4"/>
      <c r="G1030" s="4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4"/>
      <c r="E1031" s="4"/>
      <c r="F1031" s="4"/>
      <c r="G1031" s="4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"/>
      <c r="C1032" s="1"/>
      <c r="D1032" s="4"/>
      <c r="E1032" s="4"/>
      <c r="F1032" s="4"/>
      <c r="G1032" s="4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"/>
      <c r="C1033" s="1"/>
      <c r="D1033" s="4"/>
      <c r="E1033" s="4"/>
      <c r="F1033" s="4"/>
      <c r="G1033" s="4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"/>
      <c r="C1034" s="1"/>
      <c r="D1034" s="4"/>
      <c r="E1034" s="4"/>
      <c r="F1034" s="4"/>
      <c r="G1034" s="4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/>
      <c r="B1035" s="1"/>
      <c r="C1035" s="1"/>
      <c r="D1035" s="4"/>
      <c r="E1035" s="4"/>
      <c r="F1035" s="4"/>
      <c r="G1035" s="4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/>
      <c r="B1036" s="1"/>
      <c r="C1036" s="1"/>
      <c r="D1036" s="4"/>
      <c r="E1036" s="4"/>
      <c r="F1036" s="4"/>
      <c r="G1036" s="4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/>
      <c r="B1037" s="1"/>
      <c r="C1037" s="1"/>
      <c r="D1037" s="4"/>
      <c r="E1037" s="4"/>
      <c r="F1037" s="4"/>
      <c r="G1037" s="4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/>
      <c r="B1038" s="1"/>
      <c r="C1038" s="1"/>
      <c r="D1038" s="4"/>
      <c r="E1038" s="4"/>
      <c r="F1038" s="4"/>
      <c r="G1038" s="4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/>
      <c r="B1039" s="1"/>
      <c r="C1039" s="1"/>
      <c r="D1039" s="4"/>
      <c r="E1039" s="4"/>
      <c r="F1039" s="4"/>
      <c r="G1039" s="4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/>
      <c r="B1040" s="1"/>
      <c r="C1040" s="1"/>
      <c r="D1040" s="4"/>
      <c r="E1040" s="4"/>
      <c r="F1040" s="4"/>
      <c r="G1040" s="4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/>
      <c r="B1041" s="1"/>
      <c r="C1041" s="1"/>
      <c r="D1041" s="4"/>
      <c r="E1041" s="4"/>
      <c r="F1041" s="4"/>
      <c r="G1041" s="4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/>
      <c r="B1042" s="1"/>
      <c r="C1042" s="1"/>
      <c r="D1042" s="4"/>
      <c r="E1042" s="4"/>
      <c r="F1042" s="4"/>
      <c r="G1042" s="4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/>
      <c r="B1043" s="1"/>
      <c r="C1043" s="1"/>
      <c r="D1043" s="4"/>
      <c r="E1043" s="4"/>
      <c r="F1043" s="4"/>
      <c r="G1043" s="4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/>
      <c r="B1044" s="1"/>
      <c r="C1044" s="1"/>
      <c r="D1044" s="4"/>
      <c r="E1044" s="4"/>
      <c r="F1044" s="4"/>
      <c r="G1044" s="4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/>
      <c r="B1045" s="1"/>
      <c r="C1045" s="1"/>
      <c r="D1045" s="4"/>
      <c r="E1045" s="4"/>
      <c r="F1045" s="4"/>
      <c r="G1045" s="4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/>
      <c r="B1046" s="1"/>
      <c r="C1046" s="1"/>
      <c r="D1046" s="4"/>
      <c r="E1046" s="4"/>
      <c r="F1046" s="4"/>
      <c r="G1046" s="4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/>
      <c r="B1047" s="1"/>
      <c r="C1047" s="1"/>
      <c r="D1047" s="4"/>
      <c r="E1047" s="4"/>
      <c r="F1047" s="4"/>
      <c r="G1047" s="4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/>
      <c r="B1048" s="1"/>
      <c r="C1048" s="1"/>
      <c r="D1048" s="4"/>
      <c r="E1048" s="4"/>
      <c r="F1048" s="4"/>
      <c r="G1048" s="4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/>
      <c r="B1049" s="1"/>
      <c r="C1049" s="1"/>
      <c r="D1049" s="4"/>
      <c r="E1049" s="4"/>
      <c r="F1049" s="4"/>
      <c r="G1049" s="4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/>
      <c r="B1050" s="1"/>
      <c r="C1050" s="1"/>
      <c r="D1050" s="4"/>
      <c r="E1050" s="4"/>
      <c r="F1050" s="4"/>
      <c r="G1050" s="4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/>
      <c r="B1051" s="1"/>
      <c r="C1051" s="1"/>
      <c r="D1051" s="4"/>
      <c r="E1051" s="4"/>
      <c r="F1051" s="4"/>
      <c r="G1051" s="4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/>
      <c r="B1052" s="1"/>
      <c r="C1052" s="1"/>
      <c r="D1052" s="4"/>
      <c r="E1052" s="4"/>
      <c r="F1052" s="4"/>
      <c r="G1052" s="4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/>
      <c r="B1053" s="1"/>
      <c r="C1053" s="1"/>
      <c r="D1053" s="4"/>
      <c r="E1053" s="4"/>
      <c r="F1053" s="4"/>
      <c r="G1053" s="4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/>
      <c r="B1054" s="1"/>
      <c r="C1054" s="1"/>
      <c r="D1054" s="4"/>
      <c r="E1054" s="4"/>
      <c r="F1054" s="4"/>
      <c r="G1054" s="4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1"/>
      <c r="B1055" s="1"/>
      <c r="C1055" s="1"/>
      <c r="D1055" s="4"/>
      <c r="E1055" s="4"/>
      <c r="F1055" s="4"/>
      <c r="G1055" s="4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/>
      <c r="B1056" s="1"/>
      <c r="C1056" s="1"/>
      <c r="D1056" s="4"/>
      <c r="E1056" s="4"/>
      <c r="F1056" s="4"/>
      <c r="G1056" s="4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/>
      <c r="B1057" s="1"/>
      <c r="C1057" s="1"/>
      <c r="D1057" s="4"/>
      <c r="E1057" s="4"/>
      <c r="F1057" s="4"/>
      <c r="G1057" s="4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/>
      <c r="B1058" s="1"/>
      <c r="C1058" s="1"/>
      <c r="D1058" s="4"/>
      <c r="E1058" s="4"/>
      <c r="F1058" s="4"/>
      <c r="G1058" s="4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/>
      <c r="B1059" s="1"/>
      <c r="C1059" s="1"/>
      <c r="D1059" s="4"/>
      <c r="E1059" s="4"/>
      <c r="F1059" s="4"/>
      <c r="G1059" s="4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/>
      <c r="B1060" s="1"/>
      <c r="C1060" s="1"/>
      <c r="D1060" s="4"/>
      <c r="E1060" s="4"/>
      <c r="F1060" s="4"/>
      <c r="G1060" s="4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/>
      <c r="B1061" s="1"/>
      <c r="C1061" s="1"/>
      <c r="D1061" s="4"/>
      <c r="E1061" s="4"/>
      <c r="F1061" s="4"/>
      <c r="G1061" s="4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/>
      <c r="B1062" s="1"/>
      <c r="C1062" s="1"/>
      <c r="D1062" s="4"/>
      <c r="E1062" s="4"/>
      <c r="F1062" s="4"/>
      <c r="G1062" s="4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/>
      <c r="B1063" s="1"/>
      <c r="C1063" s="1"/>
      <c r="D1063" s="4"/>
      <c r="E1063" s="4"/>
      <c r="F1063" s="4"/>
      <c r="G1063" s="4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/>
      <c r="B1064" s="1"/>
      <c r="C1064" s="1"/>
      <c r="D1064" s="4"/>
      <c r="E1064" s="4"/>
      <c r="F1064" s="4"/>
      <c r="G1064" s="4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/>
      <c r="B1065" s="1"/>
      <c r="C1065" s="1"/>
      <c r="D1065" s="4"/>
      <c r="E1065" s="4"/>
      <c r="F1065" s="4"/>
      <c r="G1065" s="4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/>
      <c r="B1066" s="1"/>
      <c r="C1066" s="1"/>
      <c r="D1066" s="4"/>
      <c r="E1066" s="4"/>
      <c r="F1066" s="4"/>
      <c r="G1066" s="4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/>
      <c r="B1067" s="1"/>
      <c r="C1067" s="1"/>
      <c r="D1067" s="4"/>
      <c r="E1067" s="4"/>
      <c r="F1067" s="4"/>
      <c r="G1067" s="4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/>
      <c r="B1068" s="1"/>
      <c r="C1068" s="1"/>
      <c r="D1068" s="4"/>
      <c r="E1068" s="4"/>
      <c r="F1068" s="4"/>
      <c r="G1068" s="4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/>
      <c r="B1069" s="1"/>
      <c r="C1069" s="1"/>
      <c r="D1069" s="4"/>
      <c r="E1069" s="4"/>
      <c r="F1069" s="4"/>
      <c r="G1069" s="4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/>
      <c r="B1070" s="1"/>
      <c r="C1070" s="1"/>
      <c r="D1070" s="4"/>
      <c r="E1070" s="4"/>
      <c r="F1070" s="4"/>
      <c r="G1070" s="4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/>
      <c r="B1071" s="1"/>
      <c r="C1071" s="1"/>
      <c r="D1071" s="4"/>
      <c r="E1071" s="4"/>
      <c r="F1071" s="4"/>
      <c r="G1071" s="4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/>
      <c r="B1072" s="1"/>
      <c r="C1072" s="1"/>
      <c r="D1072" s="4"/>
      <c r="E1072" s="4"/>
      <c r="F1072" s="4"/>
      <c r="G1072" s="4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/>
      <c r="B1073" s="1"/>
      <c r="C1073" s="1"/>
      <c r="D1073" s="4"/>
      <c r="E1073" s="4"/>
      <c r="F1073" s="4"/>
      <c r="G1073" s="4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0.78"/>
    <col customWidth="1" min="3" max="3" width="57.78"/>
    <col customWidth="1" min="4" max="8" width="10.78"/>
    <col customWidth="1" min="9" max="9" width="13.0"/>
    <col customWidth="1" min="10" max="26" width="10.44"/>
  </cols>
  <sheetData>
    <row r="1" ht="15.75" customHeight="1">
      <c r="A1" s="1"/>
      <c r="B1" s="1"/>
      <c r="C1" s="1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1"/>
      <c r="B2" s="2" t="s">
        <v>83</v>
      </c>
      <c r="C2" s="1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4"/>
      <c r="E3" s="4"/>
      <c r="F3" s="4"/>
      <c r="G3" s="4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 t="s">
        <v>2</v>
      </c>
      <c r="C4" s="5" t="s">
        <v>3</v>
      </c>
      <c r="D4" s="6" t="s">
        <v>84</v>
      </c>
      <c r="E4" s="6" t="s">
        <v>85</v>
      </c>
      <c r="F4" s="6" t="s">
        <v>86</v>
      </c>
      <c r="G4" s="6" t="s">
        <v>87</v>
      </c>
      <c r="H4" s="6" t="s">
        <v>88</v>
      </c>
      <c r="I4" s="18"/>
      <c r="J4" s="1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7</v>
      </c>
      <c r="C5" s="9"/>
      <c r="D5" s="10"/>
      <c r="E5" s="10"/>
      <c r="F5" s="10"/>
      <c r="G5" s="19"/>
      <c r="H5" s="20"/>
      <c r="I5" s="18"/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"/>
      <c r="C6" s="21" t="s">
        <v>10</v>
      </c>
      <c r="D6" s="6"/>
      <c r="E6" s="6"/>
      <c r="F6" s="6"/>
      <c r="G6" s="19"/>
      <c r="H6" s="20"/>
      <c r="I6" s="18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"/>
      <c r="C7" s="5" t="s">
        <v>14</v>
      </c>
      <c r="D7" s="10">
        <v>1.0</v>
      </c>
      <c r="E7" s="10">
        <v>2.0</v>
      </c>
      <c r="F7" s="10">
        <v>2.5</v>
      </c>
      <c r="G7" s="19">
        <f>(Charges!$D7+4*Charges!$E7+Charges!$F7)/6</f>
        <v>1.916666667</v>
      </c>
      <c r="H7" s="20">
        <f>Charges!$G7*60</f>
        <v>115</v>
      </c>
      <c r="I7" s="18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"/>
      <c r="C8" s="5" t="s">
        <v>17</v>
      </c>
      <c r="D8" s="6">
        <v>1.0</v>
      </c>
      <c r="E8" s="6">
        <v>2.0</v>
      </c>
      <c r="F8" s="6">
        <v>2.5</v>
      </c>
      <c r="G8" s="19">
        <f>(Charges!$D8+4*Charges!$E8+Charges!$F8)/6</f>
        <v>1.916666667</v>
      </c>
      <c r="H8" s="20">
        <f>Charges!$G8*60</f>
        <v>115</v>
      </c>
      <c r="I8" s="18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"/>
      <c r="C9" s="5"/>
      <c r="D9" s="10"/>
      <c r="E9" s="10"/>
      <c r="F9" s="10"/>
      <c r="G9" s="19"/>
      <c r="H9" s="20"/>
      <c r="I9" s="18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5"/>
      <c r="C10" s="21" t="s">
        <v>19</v>
      </c>
      <c r="D10" s="6"/>
      <c r="E10" s="6"/>
      <c r="F10" s="6"/>
      <c r="G10" s="19"/>
      <c r="H10" s="20"/>
      <c r="I10" s="18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"/>
      <c r="C11" s="21" t="s">
        <v>20</v>
      </c>
      <c r="D11" s="10"/>
      <c r="E11" s="10"/>
      <c r="F11" s="10"/>
      <c r="G11" s="19"/>
      <c r="H11" s="20"/>
      <c r="I11" s="18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/>
      <c r="C12" s="5" t="s">
        <v>21</v>
      </c>
      <c r="D12" s="10">
        <v>0.25</v>
      </c>
      <c r="E12" s="6">
        <v>0.5</v>
      </c>
      <c r="F12" s="6">
        <v>0.5</v>
      </c>
      <c r="G12" s="19">
        <f>(Charges!$D12+4*Charges!$E12+Charges!$F12)/6</f>
        <v>0.4583333333</v>
      </c>
      <c r="H12" s="20">
        <f>Charges!$G12*60</f>
        <v>27.5</v>
      </c>
      <c r="I12" s="18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5"/>
      <c r="C13" s="5" t="s">
        <v>22</v>
      </c>
      <c r="D13" s="10">
        <v>0.25</v>
      </c>
      <c r="E13" s="6">
        <v>0.5</v>
      </c>
      <c r="F13" s="6">
        <v>0.5</v>
      </c>
      <c r="G13" s="19">
        <f>(Charges!$D13+4*Charges!$E13+Charges!$F13)/6</f>
        <v>0.4583333333</v>
      </c>
      <c r="H13" s="20">
        <f>Charges!$G13*60</f>
        <v>27.5</v>
      </c>
      <c r="I13" s="18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"/>
      <c r="C14" s="5" t="s">
        <v>23</v>
      </c>
      <c r="D14" s="10">
        <v>0.25</v>
      </c>
      <c r="E14" s="6">
        <v>0.5</v>
      </c>
      <c r="F14" s="6">
        <v>0.5</v>
      </c>
      <c r="G14" s="19">
        <f>(Charges!$D14+4*Charges!$E14+Charges!$F14)/6</f>
        <v>0.4583333333</v>
      </c>
      <c r="H14" s="20">
        <f>Charges!$G14*60</f>
        <v>27.5</v>
      </c>
      <c r="I14" s="18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5"/>
      <c r="C15" s="5" t="s">
        <v>24</v>
      </c>
      <c r="D15" s="10">
        <v>0.25</v>
      </c>
      <c r="E15" s="6">
        <v>0.5</v>
      </c>
      <c r="F15" s="6">
        <v>0.5</v>
      </c>
      <c r="G15" s="19">
        <f>(Charges!$D15+4*Charges!$E15+Charges!$F15)/6</f>
        <v>0.4583333333</v>
      </c>
      <c r="H15" s="20">
        <f>Charges!$G15*60</f>
        <v>27.5</v>
      </c>
      <c r="I15" s="18"/>
      <c r="J15" s="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"/>
      <c r="C16" s="21" t="s">
        <v>25</v>
      </c>
      <c r="D16" s="6"/>
      <c r="E16" s="6"/>
      <c r="F16" s="6"/>
      <c r="G16" s="19"/>
      <c r="H16" s="20"/>
      <c r="I16" s="18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5"/>
      <c r="C17" s="5" t="s">
        <v>26</v>
      </c>
      <c r="D17" s="10">
        <v>1.0</v>
      </c>
      <c r="E17" s="10">
        <v>1.5</v>
      </c>
      <c r="F17" s="10">
        <v>2.0</v>
      </c>
      <c r="G17" s="19">
        <f>(Charges!$D17+4*Charges!$E17+Charges!$F17)/6</f>
        <v>1.5</v>
      </c>
      <c r="H17" s="20">
        <f>Charges!$G17*60</f>
        <v>90</v>
      </c>
      <c r="I17" s="18"/>
      <c r="J17" s="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"/>
      <c r="C18" s="21" t="s">
        <v>27</v>
      </c>
      <c r="D18" s="10"/>
      <c r="E18" s="10"/>
      <c r="F18" s="10"/>
      <c r="G18" s="19"/>
      <c r="H18" s="20"/>
      <c r="I18" s="18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5"/>
      <c r="C19" s="5" t="s">
        <v>28</v>
      </c>
      <c r="D19" s="10">
        <v>0.25</v>
      </c>
      <c r="E19" s="6">
        <v>0.5</v>
      </c>
      <c r="F19" s="6">
        <v>0.5</v>
      </c>
      <c r="G19" s="19">
        <f>(Charges!$D19+4*Charges!$E19+Charges!$F19)/6</f>
        <v>0.4583333333</v>
      </c>
      <c r="H19" s="20">
        <f>Charges!$G19*60</f>
        <v>27.5</v>
      </c>
      <c r="I19" s="18"/>
      <c r="J19" s="1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"/>
      <c r="C20" s="5" t="s">
        <v>29</v>
      </c>
      <c r="D20" s="10">
        <v>0.25</v>
      </c>
      <c r="E20" s="6">
        <v>0.5</v>
      </c>
      <c r="F20" s="6">
        <v>0.5</v>
      </c>
      <c r="G20" s="19">
        <f>(Charges!$D20+4*Charges!$E20+Charges!$F20)/6</f>
        <v>0.4583333333</v>
      </c>
      <c r="H20" s="20">
        <f>Charges!$G20*60</f>
        <v>27.5</v>
      </c>
      <c r="I20" s="18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"/>
      <c r="C21" s="5" t="s">
        <v>30</v>
      </c>
      <c r="D21" s="10">
        <v>0.25</v>
      </c>
      <c r="E21" s="6">
        <v>0.5</v>
      </c>
      <c r="F21" s="6">
        <v>0.5</v>
      </c>
      <c r="G21" s="19">
        <f>(Charges!$D21+4*Charges!$E21+Charges!$F21)/6</f>
        <v>0.4583333333</v>
      </c>
      <c r="H21" s="20">
        <f>Charges!$G21*60</f>
        <v>27.5</v>
      </c>
      <c r="I21" s="18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"/>
      <c r="C22" s="5" t="s">
        <v>31</v>
      </c>
      <c r="D22" s="10">
        <v>0.25</v>
      </c>
      <c r="E22" s="6">
        <v>0.5</v>
      </c>
      <c r="F22" s="6">
        <v>0.5</v>
      </c>
      <c r="G22" s="19">
        <f>(Charges!$D22+4*Charges!$E22+Charges!$F22)/6</f>
        <v>0.4583333333</v>
      </c>
      <c r="H22" s="20">
        <f>Charges!$G22*60</f>
        <v>27.5</v>
      </c>
      <c r="I22" s="18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"/>
      <c r="C23" s="5"/>
      <c r="D23" s="6"/>
      <c r="E23" s="6"/>
      <c r="F23" s="6"/>
      <c r="G23" s="19"/>
      <c r="H23" s="20"/>
      <c r="I23" s="18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"/>
      <c r="C24" s="21" t="s">
        <v>32</v>
      </c>
      <c r="D24" s="6"/>
      <c r="E24" s="6"/>
      <c r="F24" s="6"/>
      <c r="G24" s="19"/>
      <c r="H24" s="20"/>
      <c r="I24" s="18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"/>
      <c r="C25" s="5" t="s">
        <v>33</v>
      </c>
      <c r="D25" s="6">
        <v>4.0</v>
      </c>
      <c r="E25" s="6">
        <v>5.0</v>
      </c>
      <c r="F25" s="6">
        <v>6.0</v>
      </c>
      <c r="G25" s="19">
        <f>(Charges!$D25+4*Charges!$E25+Charges!$F25)/6</f>
        <v>5</v>
      </c>
      <c r="H25" s="20">
        <f>Charges!$G25*60</f>
        <v>300</v>
      </c>
      <c r="I25" s="18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"/>
      <c r="C26" s="5"/>
      <c r="D26" s="6"/>
      <c r="E26" s="6"/>
      <c r="F26" s="6"/>
      <c r="G26" s="19"/>
      <c r="H26" s="20"/>
      <c r="I26" s="18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"/>
      <c r="C27" s="9"/>
      <c r="D27" s="6"/>
      <c r="E27" s="6"/>
      <c r="F27" s="6"/>
      <c r="G27" s="19"/>
      <c r="H27" s="20"/>
      <c r="I27" s="18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" t="s">
        <v>34</v>
      </c>
      <c r="C28" s="9"/>
      <c r="D28" s="6"/>
      <c r="E28" s="6"/>
      <c r="F28" s="6"/>
      <c r="G28" s="19"/>
      <c r="H28" s="20"/>
      <c r="I28" s="18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"/>
      <c r="C29" s="21" t="s">
        <v>35</v>
      </c>
      <c r="D29" s="6"/>
      <c r="E29" s="6"/>
      <c r="F29" s="6"/>
      <c r="G29" s="19"/>
      <c r="H29" s="20"/>
      <c r="I29" s="18"/>
      <c r="J29" s="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"/>
      <c r="C30" s="5" t="s">
        <v>36</v>
      </c>
      <c r="D30" s="6">
        <v>1.0</v>
      </c>
      <c r="E30" s="6">
        <v>1.5</v>
      </c>
      <c r="F30" s="6">
        <v>2.5</v>
      </c>
      <c r="G30" s="19">
        <f>(Charges!$D30+4*Charges!$E30+Charges!$F30)/6</f>
        <v>1.583333333</v>
      </c>
      <c r="H30" s="20">
        <f>Charges!$G30*60</f>
        <v>95</v>
      </c>
      <c r="I30" s="18"/>
      <c r="J30" s="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"/>
      <c r="C31" s="21" t="s">
        <v>37</v>
      </c>
      <c r="D31" s="6"/>
      <c r="E31" s="6"/>
      <c r="F31" s="6"/>
      <c r="G31" s="19"/>
      <c r="H31" s="20"/>
      <c r="I31" s="18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"/>
      <c r="C32" s="5" t="s">
        <v>38</v>
      </c>
      <c r="D32" s="6">
        <v>1.0</v>
      </c>
      <c r="E32" s="6">
        <v>1.5</v>
      </c>
      <c r="F32" s="6">
        <v>2.5</v>
      </c>
      <c r="G32" s="19">
        <f>(Charges!$D32+4*Charges!$E32+Charges!$F32)/6</f>
        <v>1.583333333</v>
      </c>
      <c r="H32" s="20">
        <f>Charges!$G32*60</f>
        <v>95</v>
      </c>
      <c r="I32" s="18"/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"/>
      <c r="C33" s="21" t="s">
        <v>39</v>
      </c>
      <c r="D33" s="6"/>
      <c r="E33" s="6"/>
      <c r="F33" s="6"/>
      <c r="G33" s="19"/>
      <c r="H33" s="20"/>
      <c r="I33" s="18"/>
      <c r="J33" s="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/>
      <c r="C34" s="5" t="s">
        <v>40</v>
      </c>
      <c r="D34" s="6">
        <v>1.0</v>
      </c>
      <c r="E34" s="6">
        <v>1.5</v>
      </c>
      <c r="F34" s="6">
        <v>2.5</v>
      </c>
      <c r="G34" s="19">
        <f>(Charges!$D34+4*Charges!$E34+Charges!$F34)/6</f>
        <v>1.583333333</v>
      </c>
      <c r="H34" s="20">
        <f>Charges!$G34*60</f>
        <v>95</v>
      </c>
      <c r="I34" s="18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"/>
      <c r="C35" s="21" t="s">
        <v>41</v>
      </c>
      <c r="D35" s="6">
        <v>1.0</v>
      </c>
      <c r="E35" s="6">
        <v>1.0</v>
      </c>
      <c r="F35" s="6">
        <v>2.0</v>
      </c>
      <c r="G35" s="19">
        <f>(Charges!$D35+4*Charges!$E35+Charges!$F35)/6</f>
        <v>1.166666667</v>
      </c>
      <c r="H35" s="20">
        <f>Charges!$G35*60</f>
        <v>70</v>
      </c>
      <c r="I35" s="18"/>
      <c r="J35" s="1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"/>
      <c r="C36" s="5"/>
      <c r="D36" s="6"/>
      <c r="E36" s="6"/>
      <c r="F36" s="6"/>
      <c r="G36" s="19"/>
      <c r="H36" s="20"/>
      <c r="I36" s="18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"/>
      <c r="C37" s="21" t="s">
        <v>42</v>
      </c>
      <c r="D37" s="6"/>
      <c r="E37" s="6"/>
      <c r="F37" s="6"/>
      <c r="G37" s="19"/>
      <c r="H37" s="20"/>
      <c r="I37" s="18"/>
      <c r="J37" s="1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"/>
      <c r="C38" s="5" t="s">
        <v>43</v>
      </c>
      <c r="D38" s="6">
        <v>1.5</v>
      </c>
      <c r="E38" s="6">
        <v>2.5</v>
      </c>
      <c r="F38" s="6">
        <v>2.25</v>
      </c>
      <c r="G38" s="19">
        <f>(Charges!$D38+4*Charges!$E38+Charges!$F38)/6</f>
        <v>2.291666667</v>
      </c>
      <c r="H38" s="20">
        <f>Charges!$G38*60</f>
        <v>137.5</v>
      </c>
      <c r="I38" s="18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"/>
      <c r="C39" s="21" t="s">
        <v>44</v>
      </c>
      <c r="D39" s="6"/>
      <c r="E39" s="6"/>
      <c r="F39" s="6"/>
      <c r="G39" s="19"/>
      <c r="H39" s="20"/>
      <c r="I39" s="18"/>
      <c r="J39" s="1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"/>
      <c r="C40" s="5" t="s">
        <v>89</v>
      </c>
      <c r="D40" s="6">
        <v>1.0</v>
      </c>
      <c r="E40" s="6">
        <v>1.25</v>
      </c>
      <c r="F40" s="6">
        <v>1.0</v>
      </c>
      <c r="G40" s="19">
        <f>(Charges!$D40+4*Charges!$E40+Charges!$F40)/6</f>
        <v>1.166666667</v>
      </c>
      <c r="H40" s="20">
        <f>Charges!$G40*60</f>
        <v>70</v>
      </c>
      <c r="I40" s="18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"/>
      <c r="C41" s="5" t="s">
        <v>90</v>
      </c>
      <c r="D41" s="6">
        <v>1.0</v>
      </c>
      <c r="E41" s="6">
        <v>1.25</v>
      </c>
      <c r="F41" s="6">
        <v>1.0</v>
      </c>
      <c r="G41" s="19">
        <f>(Charges!$D41+4*Charges!$E41+Charges!$F41)/6</f>
        <v>1.166666667</v>
      </c>
      <c r="H41" s="20">
        <f>Charges!$G41*60</f>
        <v>70</v>
      </c>
      <c r="I41" s="18"/>
      <c r="J41" s="1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"/>
      <c r="C42" s="21" t="s">
        <v>45</v>
      </c>
      <c r="D42" s="6">
        <v>1.5</v>
      </c>
      <c r="E42" s="6">
        <v>2.5</v>
      </c>
      <c r="F42" s="6">
        <v>2.25</v>
      </c>
      <c r="G42" s="19">
        <f>(Charges!$D42+4*Charges!$E42+Charges!$F42)/6</f>
        <v>2.291666667</v>
      </c>
      <c r="H42" s="20">
        <f>Charges!$G42*60</f>
        <v>137.5</v>
      </c>
      <c r="I42" s="18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"/>
      <c r="C43" s="21" t="s">
        <v>48</v>
      </c>
      <c r="D43" s="6"/>
      <c r="E43" s="6"/>
      <c r="F43" s="6"/>
      <c r="G43" s="19"/>
      <c r="H43" s="20"/>
      <c r="I43" s="18"/>
      <c r="J43" s="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"/>
      <c r="C44" s="5" t="s">
        <v>49</v>
      </c>
      <c r="D44" s="6">
        <v>1.0</v>
      </c>
      <c r="E44" s="6">
        <v>1.25</v>
      </c>
      <c r="F44" s="6">
        <v>1.0</v>
      </c>
      <c r="G44" s="19">
        <f>(Charges!$D44+4*Charges!$E44+Charges!$F44)/6</f>
        <v>1.166666667</v>
      </c>
      <c r="H44" s="20">
        <f>Charges!$G44*60</f>
        <v>70</v>
      </c>
      <c r="I44" s="18"/>
      <c r="J44" s="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"/>
      <c r="C45" s="5" t="s">
        <v>50</v>
      </c>
      <c r="D45" s="6">
        <v>1.0</v>
      </c>
      <c r="E45" s="6">
        <v>1.25</v>
      </c>
      <c r="F45" s="6">
        <v>1.0</v>
      </c>
      <c r="G45" s="19">
        <f>(Charges!$D45+4*Charges!$E45+Charges!$F45)/6</f>
        <v>1.166666667</v>
      </c>
      <c r="H45" s="20">
        <f>Charges!$G45*60</f>
        <v>70</v>
      </c>
      <c r="I45" s="18"/>
      <c r="J45" s="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"/>
      <c r="C46" s="5"/>
      <c r="D46" s="6"/>
      <c r="E46" s="6"/>
      <c r="F46" s="6"/>
      <c r="G46" s="19"/>
      <c r="H46" s="20"/>
      <c r="I46" s="18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"/>
      <c r="C47" s="21" t="s">
        <v>51</v>
      </c>
      <c r="D47" s="6"/>
      <c r="E47" s="6"/>
      <c r="F47" s="6"/>
      <c r="G47" s="19"/>
      <c r="H47" s="20"/>
      <c r="I47" s="18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"/>
      <c r="C48" s="5" t="s">
        <v>53</v>
      </c>
      <c r="D48" s="6">
        <v>5.0</v>
      </c>
      <c r="E48" s="6">
        <v>7.0</v>
      </c>
      <c r="F48" s="6">
        <v>9.0</v>
      </c>
      <c r="G48" s="19">
        <f>(Charges!$D48+4*Charges!$E48+Charges!$F48)/6</f>
        <v>7</v>
      </c>
      <c r="H48" s="20">
        <f>Charges!$G48*60</f>
        <v>420</v>
      </c>
      <c r="I48" s="18"/>
      <c r="J48" s="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"/>
      <c r="C49" s="5"/>
      <c r="D49" s="6"/>
      <c r="E49" s="6"/>
      <c r="F49" s="6"/>
      <c r="G49" s="19"/>
      <c r="H49" s="20"/>
      <c r="I49" s="18"/>
      <c r="J49" s="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"/>
      <c r="C50" s="9"/>
      <c r="D50" s="6"/>
      <c r="E50" s="6"/>
      <c r="F50" s="6"/>
      <c r="G50" s="19"/>
      <c r="H50" s="20"/>
      <c r="I50" s="18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" t="s">
        <v>54</v>
      </c>
      <c r="C51" s="9"/>
      <c r="D51" s="6"/>
      <c r="E51" s="6"/>
      <c r="F51" s="6"/>
      <c r="G51" s="19"/>
      <c r="H51" s="20"/>
      <c r="I51" s="18"/>
      <c r="J51" s="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"/>
      <c r="C52" s="21" t="s">
        <v>55</v>
      </c>
      <c r="D52" s="6"/>
      <c r="E52" s="6"/>
      <c r="F52" s="6"/>
      <c r="G52" s="19"/>
      <c r="H52" s="20"/>
      <c r="I52" s="18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"/>
      <c r="C53" s="5" t="s">
        <v>56</v>
      </c>
      <c r="D53" s="6">
        <v>2.0</v>
      </c>
      <c r="E53" s="6">
        <v>3.0</v>
      </c>
      <c r="F53" s="6">
        <v>3.5</v>
      </c>
      <c r="G53" s="19">
        <f>(Charges!$D53+4*Charges!$E53+Charges!$F53)/6</f>
        <v>2.916666667</v>
      </c>
      <c r="H53" s="20">
        <f>Charges!$G53*60</f>
        <v>175</v>
      </c>
      <c r="I53" s="18"/>
      <c r="J53" s="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"/>
      <c r="C54" s="5" t="s">
        <v>57</v>
      </c>
      <c r="D54" s="6">
        <v>2.0</v>
      </c>
      <c r="E54" s="6">
        <v>3.0</v>
      </c>
      <c r="F54" s="6">
        <v>3.5</v>
      </c>
      <c r="G54" s="19">
        <f>(Charges!$D54+4*Charges!$E54+Charges!$F54)/6</f>
        <v>2.916666667</v>
      </c>
      <c r="H54" s="20">
        <f>Charges!$G54*60</f>
        <v>175</v>
      </c>
      <c r="I54" s="18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"/>
      <c r="C55" s="5" t="s">
        <v>58</v>
      </c>
      <c r="D55" s="6">
        <v>2.0</v>
      </c>
      <c r="E55" s="6">
        <v>3.0</v>
      </c>
      <c r="F55" s="6">
        <v>3.5</v>
      </c>
      <c r="G55" s="19">
        <f>(Charges!$D55+4*Charges!$E55+Charges!$F55)/6</f>
        <v>2.916666667</v>
      </c>
      <c r="H55" s="20">
        <f>Charges!$G55*60</f>
        <v>175</v>
      </c>
      <c r="I55" s="18"/>
      <c r="J55" s="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"/>
      <c r="C56" s="5" t="s">
        <v>59</v>
      </c>
      <c r="D56" s="6">
        <v>2.0</v>
      </c>
      <c r="E56" s="6">
        <v>3.0</v>
      </c>
      <c r="F56" s="6">
        <v>3.5</v>
      </c>
      <c r="G56" s="19">
        <f>(Charges!$D56+4*Charges!$E56+Charges!$F56)/6</f>
        <v>2.916666667</v>
      </c>
      <c r="H56" s="20">
        <f>Charges!$G56*60</f>
        <v>175</v>
      </c>
      <c r="I56" s="18"/>
      <c r="J56" s="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"/>
      <c r="C57" s="5"/>
      <c r="D57" s="10"/>
      <c r="E57" s="10"/>
      <c r="F57" s="10"/>
      <c r="G57" s="19"/>
      <c r="H57" s="20"/>
      <c r="I57" s="18"/>
      <c r="J57" s="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"/>
      <c r="C58" s="21" t="s">
        <v>60</v>
      </c>
      <c r="D58" s="6"/>
      <c r="E58" s="6"/>
      <c r="F58" s="6"/>
      <c r="G58" s="19"/>
      <c r="H58" s="20"/>
      <c r="I58" s="18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"/>
      <c r="C59" s="21" t="s">
        <v>61</v>
      </c>
      <c r="D59" s="10"/>
      <c r="E59" s="10"/>
      <c r="F59" s="10"/>
      <c r="G59" s="19"/>
      <c r="H59" s="20"/>
      <c r="I59" s="18"/>
      <c r="J59" s="1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"/>
      <c r="C60" s="5" t="s">
        <v>62</v>
      </c>
      <c r="D60" s="6">
        <v>1.0</v>
      </c>
      <c r="E60" s="6">
        <v>1.25</v>
      </c>
      <c r="F60" s="6">
        <v>1.5</v>
      </c>
      <c r="G60" s="19">
        <f>(Charges!$D60+4*Charges!$E60+Charges!$F60)/6</f>
        <v>1.25</v>
      </c>
      <c r="H60" s="20">
        <f>Charges!$G60*60</f>
        <v>75</v>
      </c>
      <c r="I60" s="18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"/>
      <c r="C61" s="5" t="s">
        <v>63</v>
      </c>
      <c r="D61" s="10">
        <v>1.0</v>
      </c>
      <c r="E61" s="10">
        <v>1.25</v>
      </c>
      <c r="F61" s="10">
        <v>1.5</v>
      </c>
      <c r="G61" s="19">
        <f>(Charges!$D61+4*Charges!$E61+Charges!$F61)/6</f>
        <v>1.25</v>
      </c>
      <c r="H61" s="20">
        <f>Charges!$G61*60</f>
        <v>75</v>
      </c>
      <c r="I61" s="18"/>
      <c r="J61" s="1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"/>
      <c r="C62" s="5" t="s">
        <v>64</v>
      </c>
      <c r="D62" s="10">
        <v>2.0</v>
      </c>
      <c r="E62" s="6">
        <v>2.5</v>
      </c>
      <c r="F62" s="6">
        <v>3.0</v>
      </c>
      <c r="G62" s="19">
        <f>(Charges!$D62+4*Charges!$E62+Charges!$F62)/6</f>
        <v>2.5</v>
      </c>
      <c r="H62" s="20">
        <f>Charges!$G62*60</f>
        <v>150</v>
      </c>
      <c r="I62" s="18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"/>
      <c r="C63" s="5" t="s">
        <v>65</v>
      </c>
      <c r="D63" s="10">
        <v>2.0</v>
      </c>
      <c r="E63" s="6">
        <v>2.5</v>
      </c>
      <c r="F63" s="6">
        <v>3.0</v>
      </c>
      <c r="G63" s="19">
        <f>(Charges!$D63+4*Charges!$E63+Charges!$F63)/6</f>
        <v>2.5</v>
      </c>
      <c r="H63" s="20">
        <f>Charges!$G63*60</f>
        <v>150</v>
      </c>
      <c r="I63" s="18"/>
      <c r="J63" s="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"/>
      <c r="C64" s="21" t="s">
        <v>66</v>
      </c>
      <c r="D64" s="10"/>
      <c r="E64" s="6"/>
      <c r="F64" s="6"/>
      <c r="G64" s="19"/>
      <c r="H64" s="20"/>
      <c r="I64" s="18"/>
      <c r="J64" s="1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"/>
      <c r="C65" s="5" t="s">
        <v>67</v>
      </c>
      <c r="D65" s="10">
        <v>1.0</v>
      </c>
      <c r="E65" s="6">
        <v>1.25</v>
      </c>
      <c r="F65" s="6">
        <v>1.5</v>
      </c>
      <c r="G65" s="19">
        <f>(Charges!$D65+4*Charges!$E65+Charges!$F65)/6</f>
        <v>1.25</v>
      </c>
      <c r="H65" s="20">
        <f>Charges!$G65*60</f>
        <v>75</v>
      </c>
      <c r="I65" s="18"/>
      <c r="J65" s="1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"/>
      <c r="C66" s="5" t="s">
        <v>68</v>
      </c>
      <c r="D66" s="6">
        <v>1.0</v>
      </c>
      <c r="E66" s="6">
        <v>1.25</v>
      </c>
      <c r="F66" s="6">
        <v>1.5</v>
      </c>
      <c r="G66" s="19">
        <f>(Charges!$D66+4*Charges!$E66+Charges!$F66)/6</f>
        <v>1.25</v>
      </c>
      <c r="H66" s="20">
        <f>Charges!$G66*60</f>
        <v>75</v>
      </c>
      <c r="I66" s="18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"/>
      <c r="C67" s="5"/>
      <c r="D67" s="10"/>
      <c r="E67" s="10"/>
      <c r="F67" s="10"/>
      <c r="G67" s="19"/>
      <c r="H67" s="20"/>
      <c r="I67" s="18"/>
      <c r="J67" s="1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"/>
      <c r="C68" s="21" t="s">
        <v>69</v>
      </c>
      <c r="D68" s="10"/>
      <c r="E68" s="10"/>
      <c r="F68" s="10"/>
      <c r="G68" s="19"/>
      <c r="H68" s="20"/>
      <c r="I68" s="18"/>
      <c r="J68" s="1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"/>
      <c r="C69" s="5" t="s">
        <v>71</v>
      </c>
      <c r="D69" s="10">
        <v>2.0</v>
      </c>
      <c r="E69" s="6">
        <v>3.0</v>
      </c>
      <c r="F69" s="6">
        <v>3.5</v>
      </c>
      <c r="G69" s="19">
        <f>(Charges!$D69+4*Charges!$E69+Charges!$F69)/6</f>
        <v>2.916666667</v>
      </c>
      <c r="H69" s="20">
        <f>Charges!$G69*60</f>
        <v>175</v>
      </c>
      <c r="I69" s="18"/>
      <c r="J69" s="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"/>
      <c r="C70" s="5" t="s">
        <v>72</v>
      </c>
      <c r="D70" s="10">
        <v>2.0</v>
      </c>
      <c r="E70" s="6">
        <v>3.0</v>
      </c>
      <c r="F70" s="6">
        <v>3.5</v>
      </c>
      <c r="G70" s="19">
        <f>(Charges!$D70+4*Charges!$E70+Charges!$F70)/6</f>
        <v>2.916666667</v>
      </c>
      <c r="H70" s="20">
        <f>Charges!$G70*60</f>
        <v>175</v>
      </c>
      <c r="I70" s="18"/>
      <c r="J70" s="1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"/>
      <c r="C71" s="5" t="s">
        <v>73</v>
      </c>
      <c r="D71" s="10">
        <v>2.0</v>
      </c>
      <c r="E71" s="6">
        <v>3.0</v>
      </c>
      <c r="F71" s="6">
        <v>3.5</v>
      </c>
      <c r="G71" s="19">
        <f>(Charges!$D71+4*Charges!$E71+Charges!$F71)/6</f>
        <v>2.916666667</v>
      </c>
      <c r="H71" s="20">
        <f>Charges!$G71*60</f>
        <v>175</v>
      </c>
      <c r="I71" s="18"/>
      <c r="J71" s="1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"/>
      <c r="C72" s="5" t="s">
        <v>74</v>
      </c>
      <c r="D72" s="10">
        <v>2.0</v>
      </c>
      <c r="E72" s="6">
        <v>3.0</v>
      </c>
      <c r="F72" s="6">
        <v>3.5</v>
      </c>
      <c r="G72" s="19">
        <f>(Charges!$D72+4*Charges!$E72+Charges!$F72)/6</f>
        <v>2.916666667</v>
      </c>
      <c r="H72" s="20">
        <f>Charges!$G72*60</f>
        <v>175</v>
      </c>
      <c r="I72" s="18"/>
      <c r="J72" s="1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"/>
      <c r="C73" s="5"/>
      <c r="D73" s="6"/>
      <c r="E73" s="6"/>
      <c r="F73" s="6"/>
      <c r="G73" s="19"/>
      <c r="H73" s="20"/>
      <c r="I73" s="18"/>
      <c r="J73" s="1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"/>
      <c r="C74" s="21"/>
      <c r="D74" s="6"/>
      <c r="E74" s="6"/>
      <c r="F74" s="6"/>
      <c r="G74" s="19"/>
      <c r="H74" s="20"/>
      <c r="I74" s="18"/>
      <c r="J74" s="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" t="s">
        <v>75</v>
      </c>
      <c r="C75" s="5"/>
      <c r="D75" s="6"/>
      <c r="E75" s="6"/>
      <c r="F75" s="6"/>
      <c r="G75" s="19"/>
      <c r="H75" s="20"/>
      <c r="I75" s="18"/>
      <c r="J75" s="1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"/>
      <c r="C76" s="21" t="s">
        <v>76</v>
      </c>
      <c r="D76" s="6"/>
      <c r="E76" s="6"/>
      <c r="F76" s="6"/>
      <c r="G76" s="19"/>
      <c r="H76" s="20"/>
      <c r="I76" s="18"/>
      <c r="J76" s="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"/>
      <c r="C77" s="9" t="s">
        <v>77</v>
      </c>
      <c r="D77" s="6">
        <v>0.75</v>
      </c>
      <c r="E77" s="6">
        <v>1.0</v>
      </c>
      <c r="F77" s="6">
        <v>1.5</v>
      </c>
      <c r="G77" s="19">
        <f>(Charges!$D77+4*Charges!$E77+Charges!$F77)/6</f>
        <v>1.041666667</v>
      </c>
      <c r="H77" s="20">
        <f>Charges!$G77*60</f>
        <v>62.5</v>
      </c>
      <c r="I77" s="18"/>
      <c r="J77" s="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"/>
      <c r="C78" s="9" t="s">
        <v>78</v>
      </c>
      <c r="D78" s="6">
        <v>0.75</v>
      </c>
      <c r="E78" s="6">
        <v>1.0</v>
      </c>
      <c r="F78" s="6">
        <v>1.5</v>
      </c>
      <c r="G78" s="19">
        <f>(Charges!$D78+4*Charges!$E78+Charges!$F78)/6</f>
        <v>1.041666667</v>
      </c>
      <c r="H78" s="20">
        <f>Charges!$G78*60</f>
        <v>62.5</v>
      </c>
      <c r="I78" s="18"/>
      <c r="J78" s="1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"/>
      <c r="C79" s="5" t="s">
        <v>79</v>
      </c>
      <c r="D79" s="6">
        <v>0.75</v>
      </c>
      <c r="E79" s="6">
        <v>1.0</v>
      </c>
      <c r="F79" s="6">
        <v>1.5</v>
      </c>
      <c r="G79" s="19">
        <f>(Charges!$D79+4*Charges!$E79+Charges!$F79)/6</f>
        <v>1.041666667</v>
      </c>
      <c r="H79" s="20">
        <f>Charges!$G79*60</f>
        <v>62.5</v>
      </c>
      <c r="I79" s="18"/>
      <c r="J79" s="1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"/>
      <c r="C80" s="5" t="s">
        <v>80</v>
      </c>
      <c r="D80" s="6">
        <v>0.75</v>
      </c>
      <c r="E80" s="6">
        <v>1.0</v>
      </c>
      <c r="F80" s="6">
        <v>1.5</v>
      </c>
      <c r="G80" s="19">
        <f>(Charges!$D80+4*Charges!$E80+Charges!$F80)/6</f>
        <v>1.041666667</v>
      </c>
      <c r="H80" s="20">
        <f>Charges!$G80*60</f>
        <v>62.5</v>
      </c>
      <c r="I80" s="18"/>
      <c r="J80" s="1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"/>
      <c r="C81" s="21"/>
      <c r="D81" s="6"/>
      <c r="E81" s="6"/>
      <c r="F81" s="6"/>
      <c r="G81" s="19"/>
      <c r="H81" s="20"/>
      <c r="I81" s="18"/>
      <c r="J81" s="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"/>
      <c r="C82" s="5" t="s">
        <v>81</v>
      </c>
      <c r="D82" s="10"/>
      <c r="E82" s="10"/>
      <c r="F82" s="10"/>
      <c r="G82" s="19"/>
      <c r="H82" s="20"/>
      <c r="I82" s="18"/>
      <c r="J82" s="1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"/>
      <c r="C83" s="5" t="s">
        <v>82</v>
      </c>
      <c r="D83" s="6">
        <v>1.5</v>
      </c>
      <c r="E83" s="6">
        <v>3.0</v>
      </c>
      <c r="F83" s="6">
        <v>4.5</v>
      </c>
      <c r="G83" s="19">
        <f>(Charges!$D83+4*Charges!$E83+Charges!$F83)/6</f>
        <v>3</v>
      </c>
      <c r="H83" s="20">
        <f>Charges!$G83*60</f>
        <v>180</v>
      </c>
      <c r="I83" s="18"/>
      <c r="J83" s="1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2"/>
      <c r="E84" s="22"/>
      <c r="F84" s="22"/>
      <c r="G84" s="23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" t="s">
        <v>91</v>
      </c>
      <c r="C85" s="21"/>
      <c r="D85" s="6">
        <f t="shared" ref="D85:F85" si="1">SUM(D6:D83)</f>
        <v>53.5</v>
      </c>
      <c r="E85" s="6">
        <f t="shared" si="1"/>
        <v>78</v>
      </c>
      <c r="F85" s="6">
        <f t="shared" si="1"/>
        <v>94.5</v>
      </c>
      <c r="G85" s="19">
        <f>(Charges!$D85+4*Charges!$E85+Charges!$F85)/6</f>
        <v>76.66666667</v>
      </c>
      <c r="H85" s="20">
        <f>SUM(H5:H83)</f>
        <v>4600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4"/>
      <c r="E980" s="4"/>
      <c r="F980" s="4"/>
      <c r="G980" s="4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4"/>
      <c r="E981" s="4"/>
      <c r="F981" s="4"/>
      <c r="G981" s="4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4"/>
      <c r="E982" s="4"/>
      <c r="F982" s="4"/>
      <c r="G982" s="4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4"/>
      <c r="E983" s="4"/>
      <c r="F983" s="4"/>
      <c r="G983" s="4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4"/>
      <c r="E984" s="4"/>
      <c r="F984" s="4"/>
      <c r="G984" s="4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4"/>
      <c r="E985" s="4"/>
      <c r="F985" s="4"/>
      <c r="G985" s="4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4"/>
      <c r="E986" s="4"/>
      <c r="F986" s="4"/>
      <c r="G986" s="4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4"/>
      <c r="E987" s="4"/>
      <c r="F987" s="4"/>
      <c r="G987" s="4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4"/>
      <c r="E988" s="4"/>
      <c r="F988" s="4"/>
      <c r="G988" s="4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4"/>
      <c r="E989" s="4"/>
      <c r="F989" s="4"/>
      <c r="G989" s="4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4"/>
      <c r="E990" s="4"/>
      <c r="F990" s="4"/>
      <c r="G990" s="4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4"/>
      <c r="E991" s="4"/>
      <c r="F991" s="4"/>
      <c r="G991" s="4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4"/>
      <c r="E992" s="4"/>
      <c r="F992" s="4"/>
      <c r="G992" s="4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4"/>
      <c r="E993" s="4"/>
      <c r="F993" s="4"/>
      <c r="G993" s="4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4"/>
      <c r="E994" s="4"/>
      <c r="F994" s="4"/>
      <c r="G994" s="4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4"/>
      <c r="E995" s="4"/>
      <c r="F995" s="4"/>
      <c r="G995" s="4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4"/>
      <c r="E996" s="4"/>
      <c r="F996" s="4"/>
      <c r="G996" s="4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4"/>
      <c r="E997" s="4"/>
      <c r="F997" s="4"/>
      <c r="G997" s="4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4"/>
      <c r="E998" s="4"/>
      <c r="F998" s="4"/>
      <c r="G998" s="4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4"/>
      <c r="E999" s="4"/>
      <c r="F999" s="4"/>
      <c r="G999" s="4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4"/>
      <c r="E1000" s="4"/>
      <c r="F1000" s="4"/>
      <c r="G1000" s="4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4"/>
      <c r="E1001" s="4"/>
      <c r="F1001" s="4"/>
      <c r="G1001" s="4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4"/>
      <c r="E1002" s="4"/>
      <c r="F1002" s="4"/>
      <c r="G1002" s="4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4"/>
      <c r="E1003" s="4"/>
      <c r="F1003" s="4"/>
      <c r="G1003" s="4"/>
      <c r="H1003" s="4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4"/>
      <c r="E1004" s="4"/>
      <c r="F1004" s="4"/>
      <c r="G1004" s="4"/>
      <c r="H1004" s="4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4"/>
      <c r="E1005" s="4"/>
      <c r="F1005" s="4"/>
      <c r="G1005" s="4"/>
      <c r="H1005" s="4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4"/>
      <c r="E1006" s="4"/>
      <c r="F1006" s="4"/>
      <c r="G1006" s="4"/>
      <c r="H1006" s="4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4"/>
      <c r="E1007" s="4"/>
      <c r="F1007" s="4"/>
      <c r="G1007" s="4"/>
      <c r="H1007" s="4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4"/>
      <c r="E1008" s="4"/>
      <c r="F1008" s="4"/>
      <c r="G1008" s="4"/>
      <c r="H1008" s="4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2023-05-01T21:11:23Z</dcterms:created>
  <dc:creator>Microsoft Office User</dc:creator>
</cp:coreProperties>
</file>